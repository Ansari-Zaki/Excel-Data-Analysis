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13_ncr:1_{FD136B7C-8364-41DA-A5C0-2A5B20D26A23}" xr6:coauthVersionLast="36" xr6:coauthVersionMax="36" xr10:uidLastSave="{00000000-0000-0000-0000-000000000000}"/>
  <bookViews>
    <workbookView xWindow="0" yWindow="0" windowWidth="20490" windowHeight="7005" xr2:uid="{0EA24E5C-EB78-4941-BBEC-4F901E993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E11" i="1"/>
  <c r="E17" i="1"/>
  <c r="E20" i="1"/>
  <c r="D3" i="1"/>
  <c r="D4" i="1"/>
  <c r="E4" i="1" s="1"/>
  <c r="D5" i="1"/>
  <c r="E5" i="1" s="1"/>
  <c r="D6" i="1"/>
  <c r="E6" i="1" s="1"/>
  <c r="D7" i="1"/>
  <c r="D8" i="1"/>
  <c r="D9" i="1"/>
  <c r="E9" i="1" s="1"/>
  <c r="D10" i="1"/>
  <c r="E10" i="1" s="1"/>
  <c r="D11" i="1"/>
  <c r="D12" i="1"/>
  <c r="E12" i="1" s="1"/>
  <c r="D13" i="1"/>
  <c r="E13" i="1" s="1"/>
  <c r="D14" i="1"/>
  <c r="D15" i="1"/>
  <c r="E15" i="1" s="1"/>
  <c r="D16" i="1"/>
  <c r="E16" i="1" s="1"/>
  <c r="D17" i="1"/>
  <c r="D18" i="1"/>
  <c r="E18" i="1" s="1"/>
  <c r="D19" i="1"/>
  <c r="E19" i="1" s="1"/>
  <c r="D20" i="1"/>
  <c r="C3" i="1"/>
  <c r="C4" i="1"/>
  <c r="C5" i="1"/>
  <c r="C6" i="1"/>
  <c r="C7" i="1"/>
  <c r="C8" i="1"/>
  <c r="E8" i="1" s="1"/>
  <c r="C9" i="1"/>
  <c r="C10" i="1"/>
  <c r="C11" i="1"/>
  <c r="C12" i="1"/>
  <c r="C13" i="1"/>
  <c r="C14" i="1"/>
  <c r="C15" i="1"/>
  <c r="C16" i="1"/>
  <c r="C17" i="1"/>
  <c r="C18" i="1"/>
  <c r="C19" i="1"/>
  <c r="C20" i="1"/>
  <c r="B3" i="1"/>
  <c r="E3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S2" i="1"/>
  <c r="O2" i="1"/>
  <c r="N2" i="1"/>
  <c r="J2" i="1"/>
  <c r="I2" i="1"/>
  <c r="H2" i="1"/>
  <c r="D2" i="1"/>
  <c r="C2" i="1"/>
  <c r="B2" i="1"/>
  <c r="E14" i="1" l="1"/>
  <c r="E7" i="1"/>
  <c r="E2" i="1"/>
</calcChain>
</file>

<file path=xl/sharedStrings.xml><?xml version="1.0" encoding="utf-8"?>
<sst xmlns="http://schemas.openxmlformats.org/spreadsheetml/2006/main" count="16" uniqueCount="14">
  <si>
    <t>Date</t>
  </si>
  <si>
    <t>Month</t>
  </si>
  <si>
    <t>Year</t>
  </si>
  <si>
    <t>Day</t>
  </si>
  <si>
    <t>Time</t>
  </si>
  <si>
    <t>Hours</t>
  </si>
  <si>
    <t>Minutes</t>
  </si>
  <si>
    <t>Seconds</t>
  </si>
  <si>
    <t>Date of Birth</t>
  </si>
  <si>
    <t>Age</t>
  </si>
  <si>
    <t xml:space="preserve">In Time </t>
  </si>
  <si>
    <t>Out Time</t>
  </si>
  <si>
    <t>Work Hour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</si>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</sst>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\ dd/mmm/yyyy"/>
    <numFmt numFmtId="165" formatCode="[$-409]h:mm\ AM/PM;@"/>
    <numFmt numFmtId="166" formatCode="h:mm;@"/>
    <numFmt numFmtId="167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8" fontId="0" fillId="0" borderId="0" xfId="0" applyNumberFormat="1"/>
    <xf numFmtId="166" fontId="0" fillId="0" borderId="0" xfId="0" quotePrefix="1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8BC0-B308-4BB1-8577-E45CE2DB346E}">
  <dimension ref="A1:S31"/>
  <sheetViews>
    <sheetView tabSelected="1" topLeftCell="A4" workbookViewId="0">
      <selection activeCell="L9" sqref="L9"/>
    </sheetView>
  </sheetViews>
  <sheetFormatPr defaultRowHeight="15" x14ac:dyDescent="0.25"/>
  <cols>
    <col min="1" max="1" width="23.42578125" bestFit="1" customWidth="1"/>
    <col min="5" max="5" width="10.7109375" bestFit="1" customWidth="1"/>
    <col min="13" max="13" width="12.140625" bestFit="1" customWidth="1"/>
    <col min="17" max="18" width="11.5703125" bestFit="1" customWidth="1"/>
    <col min="19" max="19" width="10.5703125" bestFit="1" customWidth="1"/>
  </cols>
  <sheetData>
    <row r="1" spans="1:19" x14ac:dyDescent="0.25">
      <c r="A1" s="3" t="s">
        <v>0</v>
      </c>
      <c r="B1" s="9" t="s">
        <v>3</v>
      </c>
      <c r="C1" s="9" t="s">
        <v>1</v>
      </c>
      <c r="D1" s="9" t="s">
        <v>2</v>
      </c>
      <c r="E1" s="9" t="s">
        <v>0</v>
      </c>
      <c r="F1" s="9"/>
      <c r="G1" s="9" t="s">
        <v>4</v>
      </c>
      <c r="H1" s="9" t="s">
        <v>5</v>
      </c>
      <c r="I1" s="9" t="s">
        <v>6</v>
      </c>
      <c r="J1" s="9" t="s">
        <v>7</v>
      </c>
      <c r="K1" s="9" t="s">
        <v>4</v>
      </c>
      <c r="L1" s="9"/>
      <c r="M1" s="9" t="s">
        <v>8</v>
      </c>
      <c r="N1" s="9" t="s">
        <v>9</v>
      </c>
      <c r="O1" s="9" t="s">
        <v>13</v>
      </c>
      <c r="P1" s="9"/>
      <c r="Q1" s="9" t="s">
        <v>10</v>
      </c>
      <c r="R1" s="9" t="s">
        <v>11</v>
      </c>
      <c r="S1" s="9" t="s">
        <v>12</v>
      </c>
    </row>
    <row r="2" spans="1:19" x14ac:dyDescent="0.25">
      <c r="A2" s="4">
        <v>44938</v>
      </c>
      <c r="B2">
        <f>DAY(A2)</f>
        <v>12</v>
      </c>
      <c r="C2">
        <f>MONTH(A2)</f>
        <v>1</v>
      </c>
      <c r="D2">
        <f>YEAR(A2)</f>
        <v>2023</v>
      </c>
      <c r="E2" s="1">
        <f>DATE(D2,C2,B2)</f>
        <v>44938</v>
      </c>
      <c r="G2" s="2">
        <v>0.34401620370370373</v>
      </c>
      <c r="H2">
        <f>HOUR(G2)</f>
        <v>8</v>
      </c>
      <c r="I2">
        <f>MINUTE(G2)</f>
        <v>15</v>
      </c>
      <c r="J2">
        <f>SECOND(G2)</f>
        <v>23</v>
      </c>
      <c r="K2" s="7">
        <f>TIME(H2,I2,J2)</f>
        <v>0.34401620370370373</v>
      </c>
      <c r="M2" s="1">
        <v>35841</v>
      </c>
      <c r="N2">
        <f ca="1">YEARFRAC(M2,TODAY(),3)</f>
        <v>28.172602739726027</v>
      </c>
      <c r="O2">
        <f ca="1">ROUND(YEARFRAC(M2,TODAY(),3),0)</f>
        <v>28</v>
      </c>
      <c r="Q2" s="6">
        <v>0.36458333333333331</v>
      </c>
      <c r="R2" s="6">
        <v>0.625</v>
      </c>
      <c r="S2" s="8">
        <f>R2-Q2</f>
        <v>0.26041666666666669</v>
      </c>
    </row>
    <row r="3" spans="1:19" x14ac:dyDescent="0.25">
      <c r="A3" s="4">
        <v>44299</v>
      </c>
      <c r="B3">
        <f t="shared" ref="B3:B20" si="0">DAY(A3)</f>
        <v>13</v>
      </c>
      <c r="C3">
        <f t="shared" ref="C3:C20" si="1">MONTH(A3)</f>
        <v>4</v>
      </c>
      <c r="D3">
        <f t="shared" ref="D3:D20" si="2">YEAR(A3)</f>
        <v>2021</v>
      </c>
      <c r="E3" s="1">
        <f t="shared" ref="E3:E20" si="3">DATE(D3,C3,B3)</f>
        <v>44299</v>
      </c>
      <c r="G3" s="2">
        <v>0.53136574074074072</v>
      </c>
      <c r="H3">
        <f t="shared" ref="H3:H20" si="4">HOUR(G3)</f>
        <v>12</v>
      </c>
      <c r="I3">
        <f t="shared" ref="I3:I20" si="5">MINUTE(G3)</f>
        <v>45</v>
      </c>
      <c r="J3">
        <f t="shared" ref="J3:J20" si="6">SECOND(G3)</f>
        <v>10</v>
      </c>
      <c r="K3" s="7">
        <f t="shared" ref="K3:K20" si="7">TIME(H3,I3,J3)</f>
        <v>0.53136574074074072</v>
      </c>
      <c r="M3" s="1">
        <v>37095</v>
      </c>
      <c r="N3">
        <f t="shared" ref="N3:N20" ca="1" si="8">YEARFRAC(M3,TODAY(),3)</f>
        <v>24.736986301369864</v>
      </c>
      <c r="O3">
        <f t="shared" ref="O3:O20" ca="1" si="9">ROUND(YEARFRAC(M3,TODAY(),3),0)</f>
        <v>25</v>
      </c>
      <c r="Q3" s="6">
        <v>0.30208333333333331</v>
      </c>
      <c r="R3" s="6">
        <v>0.68402777777777779</v>
      </c>
      <c r="S3" s="8">
        <f t="shared" ref="S3:S20" si="10">R3-Q3</f>
        <v>0.38194444444444448</v>
      </c>
    </row>
    <row r="4" spans="1:19" x14ac:dyDescent="0.25">
      <c r="A4" s="4">
        <v>44756</v>
      </c>
      <c r="B4">
        <f t="shared" si="0"/>
        <v>14</v>
      </c>
      <c r="C4">
        <f t="shared" si="1"/>
        <v>7</v>
      </c>
      <c r="D4">
        <f t="shared" si="2"/>
        <v>2022</v>
      </c>
      <c r="E4" s="1">
        <f t="shared" si="3"/>
        <v>44756</v>
      </c>
      <c r="G4" s="2">
        <v>0.2714699074074074</v>
      </c>
      <c r="H4">
        <f t="shared" si="4"/>
        <v>6</v>
      </c>
      <c r="I4">
        <f t="shared" si="5"/>
        <v>30</v>
      </c>
      <c r="J4">
        <f t="shared" si="6"/>
        <v>55</v>
      </c>
      <c r="K4" s="7">
        <f t="shared" si="7"/>
        <v>0.2714699074074074</v>
      </c>
      <c r="M4" s="1">
        <v>35012</v>
      </c>
      <c r="N4">
        <f t="shared" ca="1" si="8"/>
        <v>30.443835616438356</v>
      </c>
      <c r="O4">
        <f t="shared" ca="1" si="9"/>
        <v>30</v>
      </c>
      <c r="Q4" s="6">
        <v>0.37847222222222227</v>
      </c>
      <c r="R4" s="6">
        <v>0.72916666666666663</v>
      </c>
      <c r="S4" s="8">
        <f t="shared" si="10"/>
        <v>0.35069444444444436</v>
      </c>
    </row>
    <row r="5" spans="1:19" x14ac:dyDescent="0.25">
      <c r="A5" s="4">
        <v>44058</v>
      </c>
      <c r="B5">
        <f t="shared" si="0"/>
        <v>15</v>
      </c>
      <c r="C5">
        <f t="shared" si="1"/>
        <v>8</v>
      </c>
      <c r="D5">
        <f t="shared" si="2"/>
        <v>2020</v>
      </c>
      <c r="E5" s="1">
        <f t="shared" si="3"/>
        <v>44058</v>
      </c>
      <c r="G5" s="2">
        <v>0.80601851851851858</v>
      </c>
      <c r="H5">
        <f t="shared" si="4"/>
        <v>19</v>
      </c>
      <c r="I5">
        <f t="shared" si="5"/>
        <v>20</v>
      </c>
      <c r="J5">
        <f t="shared" si="6"/>
        <v>40</v>
      </c>
      <c r="K5" s="7">
        <f t="shared" si="7"/>
        <v>0.80601851851851858</v>
      </c>
      <c r="M5" s="1">
        <v>36676</v>
      </c>
      <c r="N5">
        <f t="shared" ca="1" si="8"/>
        <v>25.884931506849316</v>
      </c>
      <c r="O5">
        <f t="shared" ca="1" si="9"/>
        <v>26</v>
      </c>
      <c r="Q5" s="6">
        <v>0.4236111111111111</v>
      </c>
      <c r="R5" s="6">
        <v>0.66666666666666663</v>
      </c>
      <c r="S5" s="8">
        <f t="shared" si="10"/>
        <v>0.24305555555555552</v>
      </c>
    </row>
    <row r="6" spans="1:19" x14ac:dyDescent="0.25">
      <c r="A6" s="4">
        <v>41533</v>
      </c>
      <c r="B6">
        <f t="shared" si="0"/>
        <v>16</v>
      </c>
      <c r="C6">
        <f t="shared" si="1"/>
        <v>9</v>
      </c>
      <c r="D6">
        <f t="shared" si="2"/>
        <v>2013</v>
      </c>
      <c r="E6" s="1">
        <f t="shared" si="3"/>
        <v>41533</v>
      </c>
      <c r="G6" s="2">
        <v>0.99998842592592585</v>
      </c>
      <c r="H6">
        <f t="shared" si="4"/>
        <v>23</v>
      </c>
      <c r="I6">
        <f t="shared" si="5"/>
        <v>59</v>
      </c>
      <c r="J6">
        <f t="shared" si="6"/>
        <v>59</v>
      </c>
      <c r="K6" s="7">
        <f t="shared" si="7"/>
        <v>0.99998842592592585</v>
      </c>
      <c r="M6" s="1">
        <v>35442</v>
      </c>
      <c r="N6">
        <f t="shared" ca="1" si="8"/>
        <v>29.265753424657536</v>
      </c>
      <c r="O6">
        <f t="shared" ca="1" si="9"/>
        <v>29</v>
      </c>
      <c r="Q6" s="6">
        <v>0.3263888888888889</v>
      </c>
      <c r="R6" s="6">
        <v>0.67708333333333337</v>
      </c>
      <c r="S6" s="8">
        <f t="shared" si="10"/>
        <v>0.35069444444444448</v>
      </c>
    </row>
    <row r="7" spans="1:19" x14ac:dyDescent="0.25">
      <c r="A7" s="4">
        <v>37972</v>
      </c>
      <c r="B7">
        <f t="shared" si="0"/>
        <v>17</v>
      </c>
      <c r="C7">
        <f t="shared" si="1"/>
        <v>12</v>
      </c>
      <c r="D7">
        <f t="shared" si="2"/>
        <v>2003</v>
      </c>
      <c r="E7" s="1">
        <f t="shared" si="3"/>
        <v>37972</v>
      </c>
      <c r="G7" s="2">
        <v>0.59033564814814821</v>
      </c>
      <c r="H7">
        <f t="shared" si="4"/>
        <v>14</v>
      </c>
      <c r="I7">
        <f t="shared" si="5"/>
        <v>10</v>
      </c>
      <c r="J7">
        <f t="shared" si="6"/>
        <v>5</v>
      </c>
      <c r="K7" s="7">
        <f t="shared" si="7"/>
        <v>0.59033564814814821</v>
      </c>
      <c r="M7" s="1">
        <v>37486</v>
      </c>
      <c r="N7">
        <f t="shared" ca="1" si="8"/>
        <v>23.665753424657535</v>
      </c>
      <c r="O7">
        <f t="shared" ca="1" si="9"/>
        <v>24</v>
      </c>
      <c r="Q7" s="6">
        <v>0.35069444444444442</v>
      </c>
      <c r="R7" s="6">
        <v>0.75694444444444453</v>
      </c>
      <c r="S7" s="8">
        <f t="shared" si="10"/>
        <v>0.40625000000000011</v>
      </c>
    </row>
    <row r="8" spans="1:19" x14ac:dyDescent="0.25">
      <c r="A8" s="4">
        <v>39404</v>
      </c>
      <c r="B8">
        <f t="shared" si="0"/>
        <v>18</v>
      </c>
      <c r="C8">
        <f t="shared" si="1"/>
        <v>11</v>
      </c>
      <c r="D8">
        <f t="shared" si="2"/>
        <v>2007</v>
      </c>
      <c r="E8" s="1">
        <f t="shared" si="3"/>
        <v>39404</v>
      </c>
      <c r="G8" s="2">
        <v>0.37899305555555557</v>
      </c>
      <c r="H8">
        <f t="shared" si="4"/>
        <v>9</v>
      </c>
      <c r="I8">
        <f t="shared" si="5"/>
        <v>5</v>
      </c>
      <c r="J8">
        <f t="shared" si="6"/>
        <v>45</v>
      </c>
      <c r="K8" s="7">
        <f t="shared" si="7"/>
        <v>0.37899305555555557</v>
      </c>
      <c r="M8" s="1">
        <v>34693</v>
      </c>
      <c r="N8">
        <f t="shared" ca="1" si="8"/>
        <v>31.317808219178083</v>
      </c>
      <c r="O8">
        <f t="shared" ca="1" si="9"/>
        <v>31</v>
      </c>
      <c r="Q8" s="6">
        <v>0.37986111111111115</v>
      </c>
      <c r="R8" s="6">
        <v>0.74305555555555547</v>
      </c>
      <c r="S8" s="8">
        <f t="shared" si="10"/>
        <v>0.36319444444444432</v>
      </c>
    </row>
    <row r="9" spans="1:19" x14ac:dyDescent="0.25">
      <c r="A9" s="4">
        <v>45431</v>
      </c>
      <c r="B9">
        <f t="shared" si="0"/>
        <v>19</v>
      </c>
      <c r="C9">
        <f t="shared" si="1"/>
        <v>5</v>
      </c>
      <c r="D9">
        <f t="shared" si="2"/>
        <v>2024</v>
      </c>
      <c r="E9" s="1">
        <f t="shared" si="3"/>
        <v>45431</v>
      </c>
      <c r="G9" s="2">
        <v>0.73287037037037039</v>
      </c>
      <c r="H9">
        <f t="shared" si="4"/>
        <v>17</v>
      </c>
      <c r="I9">
        <f t="shared" si="5"/>
        <v>35</v>
      </c>
      <c r="J9">
        <f t="shared" si="6"/>
        <v>20</v>
      </c>
      <c r="K9" s="7">
        <f t="shared" si="7"/>
        <v>0.73287037037037039</v>
      </c>
      <c r="M9" s="1">
        <v>36226</v>
      </c>
      <c r="N9">
        <f t="shared" ca="1" si="8"/>
        <v>27.117808219178084</v>
      </c>
      <c r="O9">
        <f t="shared" ca="1" si="9"/>
        <v>27</v>
      </c>
      <c r="Q9" s="6">
        <v>0.40069444444444446</v>
      </c>
      <c r="R9" s="6">
        <v>0.69444444444444453</v>
      </c>
      <c r="S9" s="8">
        <f t="shared" si="10"/>
        <v>0.29375000000000007</v>
      </c>
    </row>
    <row r="10" spans="1:19" x14ac:dyDescent="0.25">
      <c r="A10" s="4">
        <v>45708</v>
      </c>
      <c r="B10">
        <f t="shared" si="0"/>
        <v>20</v>
      </c>
      <c r="C10">
        <f t="shared" si="1"/>
        <v>2</v>
      </c>
      <c r="D10">
        <f t="shared" si="2"/>
        <v>2025</v>
      </c>
      <c r="E10" s="1">
        <f t="shared" si="3"/>
        <v>45708</v>
      </c>
      <c r="G10" s="2">
        <v>0.91006944444444438</v>
      </c>
      <c r="H10">
        <f t="shared" si="4"/>
        <v>21</v>
      </c>
      <c r="I10">
        <f t="shared" si="5"/>
        <v>50</v>
      </c>
      <c r="J10">
        <f t="shared" si="6"/>
        <v>30</v>
      </c>
      <c r="K10" s="7">
        <f t="shared" si="7"/>
        <v>0.91006944444444438</v>
      </c>
      <c r="M10" s="1">
        <v>37793</v>
      </c>
      <c r="N10">
        <f t="shared" ca="1" si="8"/>
        <v>22.824657534246576</v>
      </c>
      <c r="O10">
        <f t="shared" ca="1" si="9"/>
        <v>23</v>
      </c>
      <c r="Q10" s="6">
        <v>0.43263888888888885</v>
      </c>
      <c r="R10" s="6">
        <v>0.70833333333333337</v>
      </c>
      <c r="S10" s="8">
        <f t="shared" si="10"/>
        <v>0.27569444444444452</v>
      </c>
    </row>
    <row r="11" spans="1:19" x14ac:dyDescent="0.25">
      <c r="A11" s="4">
        <v>46043</v>
      </c>
      <c r="B11">
        <f t="shared" si="0"/>
        <v>21</v>
      </c>
      <c r="C11">
        <f t="shared" si="1"/>
        <v>1</v>
      </c>
      <c r="D11">
        <f t="shared" si="2"/>
        <v>2026</v>
      </c>
      <c r="E11" s="1">
        <f t="shared" si="3"/>
        <v>46043</v>
      </c>
      <c r="G11" s="2">
        <v>0.4758680555555555</v>
      </c>
      <c r="H11">
        <f t="shared" si="4"/>
        <v>11</v>
      </c>
      <c r="I11">
        <f t="shared" si="5"/>
        <v>25</v>
      </c>
      <c r="J11">
        <f t="shared" si="6"/>
        <v>15</v>
      </c>
      <c r="K11" s="7">
        <f t="shared" si="7"/>
        <v>0.4758680555555555</v>
      </c>
      <c r="M11" s="1">
        <v>35322</v>
      </c>
      <c r="N11">
        <f t="shared" ca="1" si="8"/>
        <v>29.594520547945205</v>
      </c>
      <c r="O11">
        <f t="shared" ca="1" si="9"/>
        <v>30</v>
      </c>
      <c r="Q11" s="6">
        <v>0.35625000000000001</v>
      </c>
      <c r="R11" s="6">
        <v>0.59375</v>
      </c>
      <c r="S11" s="8">
        <f t="shared" si="10"/>
        <v>0.23749999999999999</v>
      </c>
    </row>
    <row r="12" spans="1:19" x14ac:dyDescent="0.25">
      <c r="A12" s="4">
        <v>43912</v>
      </c>
      <c r="B12">
        <f t="shared" si="0"/>
        <v>22</v>
      </c>
      <c r="C12">
        <f t="shared" si="1"/>
        <v>3</v>
      </c>
      <c r="D12">
        <f t="shared" si="2"/>
        <v>2020</v>
      </c>
      <c r="E12" s="1">
        <f t="shared" si="3"/>
        <v>43912</v>
      </c>
      <c r="G12" s="2">
        <v>0.32002314814814814</v>
      </c>
      <c r="H12">
        <f t="shared" si="4"/>
        <v>7</v>
      </c>
      <c r="I12">
        <f t="shared" si="5"/>
        <v>40</v>
      </c>
      <c r="J12">
        <f t="shared" si="6"/>
        <v>50</v>
      </c>
      <c r="K12" s="7">
        <f t="shared" si="7"/>
        <v>0.32002314814814814</v>
      </c>
      <c r="M12" s="1">
        <v>35890</v>
      </c>
      <c r="N12">
        <f t="shared" ca="1" si="8"/>
        <v>28.038356164383561</v>
      </c>
      <c r="O12">
        <f t="shared" ca="1" si="9"/>
        <v>28</v>
      </c>
      <c r="Q12" s="6">
        <v>0.375</v>
      </c>
      <c r="R12" s="6">
        <v>0.55902777777777779</v>
      </c>
      <c r="S12" s="8">
        <f t="shared" si="10"/>
        <v>0.18402777777777779</v>
      </c>
    </row>
    <row r="13" spans="1:19" x14ac:dyDescent="0.25">
      <c r="A13" s="4">
        <v>41813</v>
      </c>
      <c r="B13">
        <f t="shared" si="0"/>
        <v>23</v>
      </c>
      <c r="C13">
        <f t="shared" si="1"/>
        <v>6</v>
      </c>
      <c r="D13">
        <f t="shared" si="2"/>
        <v>2014</v>
      </c>
      <c r="E13" s="1">
        <f t="shared" si="3"/>
        <v>41813</v>
      </c>
      <c r="G13" s="2">
        <v>0.70491898148148147</v>
      </c>
      <c r="H13">
        <f t="shared" si="4"/>
        <v>16</v>
      </c>
      <c r="I13">
        <f t="shared" si="5"/>
        <v>55</v>
      </c>
      <c r="J13">
        <f t="shared" si="6"/>
        <v>5</v>
      </c>
      <c r="K13" s="7">
        <f t="shared" si="7"/>
        <v>0.70491898148148147</v>
      </c>
      <c r="M13" s="1">
        <v>37191</v>
      </c>
      <c r="N13">
        <f t="shared" ca="1" si="8"/>
        <v>24.473972602739725</v>
      </c>
      <c r="O13">
        <f t="shared" ca="1" si="9"/>
        <v>24</v>
      </c>
      <c r="Q13" s="6">
        <v>0.41666666666666669</v>
      </c>
      <c r="R13" s="6">
        <v>0.52083333333333337</v>
      </c>
      <c r="S13" s="8">
        <f t="shared" si="10"/>
        <v>0.10416666666666669</v>
      </c>
    </row>
    <row r="14" spans="1:19" x14ac:dyDescent="0.25">
      <c r="A14" s="4">
        <v>43032</v>
      </c>
      <c r="B14">
        <f t="shared" si="0"/>
        <v>24</v>
      </c>
      <c r="C14">
        <f t="shared" si="1"/>
        <v>10</v>
      </c>
      <c r="D14">
        <f t="shared" si="2"/>
        <v>2017</v>
      </c>
      <c r="E14" s="1">
        <f t="shared" si="3"/>
        <v>43032</v>
      </c>
      <c r="G14" s="2">
        <v>0.55248842592592595</v>
      </c>
      <c r="H14">
        <f t="shared" si="4"/>
        <v>13</v>
      </c>
      <c r="I14">
        <f t="shared" si="5"/>
        <v>15</v>
      </c>
      <c r="J14">
        <f t="shared" si="6"/>
        <v>35</v>
      </c>
      <c r="K14" s="7">
        <f t="shared" si="7"/>
        <v>0.55248842592592595</v>
      </c>
      <c r="M14" s="1">
        <v>34741</v>
      </c>
      <c r="N14">
        <f t="shared" ca="1" si="8"/>
        <v>31.186301369863013</v>
      </c>
      <c r="O14">
        <f t="shared" ca="1" si="9"/>
        <v>31</v>
      </c>
      <c r="Q14" s="6">
        <v>0.44930555555555557</v>
      </c>
      <c r="R14" s="6">
        <v>0.76111111111111107</v>
      </c>
      <c r="S14" s="8">
        <f t="shared" si="10"/>
        <v>0.3118055555555555</v>
      </c>
    </row>
    <row r="15" spans="1:19" x14ac:dyDescent="0.25">
      <c r="A15" s="4">
        <v>43306</v>
      </c>
      <c r="B15">
        <f t="shared" si="0"/>
        <v>25</v>
      </c>
      <c r="C15">
        <f t="shared" si="1"/>
        <v>7</v>
      </c>
      <c r="D15">
        <f t="shared" si="2"/>
        <v>2018</v>
      </c>
      <c r="E15" s="1">
        <f t="shared" si="3"/>
        <v>43306</v>
      </c>
      <c r="G15" s="2">
        <v>0.75376157407407407</v>
      </c>
      <c r="H15">
        <f t="shared" si="4"/>
        <v>18</v>
      </c>
      <c r="I15">
        <f t="shared" si="5"/>
        <v>5</v>
      </c>
      <c r="J15">
        <f t="shared" si="6"/>
        <v>25</v>
      </c>
      <c r="K15" s="7">
        <f t="shared" si="7"/>
        <v>0.75376157407407407</v>
      </c>
      <c r="M15" s="1">
        <v>36726</v>
      </c>
      <c r="N15">
        <f t="shared" ca="1" si="8"/>
        <v>25.747945205479454</v>
      </c>
      <c r="O15">
        <f t="shared" ca="1" si="9"/>
        <v>26</v>
      </c>
      <c r="Q15" s="6">
        <v>0.42499999999999999</v>
      </c>
      <c r="R15" s="6">
        <v>0.74791666666666667</v>
      </c>
      <c r="S15" s="8">
        <f t="shared" si="10"/>
        <v>0.32291666666666669</v>
      </c>
    </row>
    <row r="16" spans="1:19" x14ac:dyDescent="0.25">
      <c r="A16" s="4">
        <v>40873</v>
      </c>
      <c r="B16">
        <f t="shared" si="0"/>
        <v>26</v>
      </c>
      <c r="C16">
        <f t="shared" si="1"/>
        <v>11</v>
      </c>
      <c r="D16">
        <f t="shared" si="2"/>
        <v>2011</v>
      </c>
      <c r="E16" s="1">
        <f t="shared" si="3"/>
        <v>40873</v>
      </c>
      <c r="G16" s="2">
        <v>0.93761574074074072</v>
      </c>
      <c r="H16">
        <f t="shared" si="4"/>
        <v>22</v>
      </c>
      <c r="I16">
        <f t="shared" si="5"/>
        <v>30</v>
      </c>
      <c r="J16">
        <f t="shared" si="6"/>
        <v>10</v>
      </c>
      <c r="K16" s="7">
        <f t="shared" si="7"/>
        <v>0.93761574074074072</v>
      </c>
      <c r="M16" s="1">
        <v>35767</v>
      </c>
      <c r="N16">
        <f t="shared" ca="1" si="8"/>
        <v>28.375342465753423</v>
      </c>
      <c r="O16">
        <f t="shared" ca="1" si="9"/>
        <v>28</v>
      </c>
      <c r="Q16" s="6">
        <v>0.4145833333333333</v>
      </c>
      <c r="R16" s="6">
        <v>0.69236111111111109</v>
      </c>
      <c r="S16" s="8">
        <f t="shared" si="10"/>
        <v>0.27777777777777779</v>
      </c>
    </row>
    <row r="17" spans="1:19" x14ac:dyDescent="0.25">
      <c r="A17" s="4">
        <v>44953</v>
      </c>
      <c r="B17">
        <f t="shared" si="0"/>
        <v>27</v>
      </c>
      <c r="C17">
        <f t="shared" si="1"/>
        <v>1</v>
      </c>
      <c r="D17">
        <f t="shared" si="2"/>
        <v>2023</v>
      </c>
      <c r="E17" s="1">
        <f t="shared" si="3"/>
        <v>44953</v>
      </c>
      <c r="G17" s="2">
        <v>0.22274305555555554</v>
      </c>
      <c r="H17">
        <f t="shared" si="4"/>
        <v>5</v>
      </c>
      <c r="I17">
        <f t="shared" si="5"/>
        <v>20</v>
      </c>
      <c r="J17">
        <f t="shared" si="6"/>
        <v>45</v>
      </c>
      <c r="K17" s="7">
        <f t="shared" si="7"/>
        <v>0.22274305555555554</v>
      </c>
      <c r="M17" s="1">
        <v>37392</v>
      </c>
      <c r="N17">
        <f t="shared" ca="1" si="8"/>
        <v>23.923287671232877</v>
      </c>
      <c r="O17">
        <f t="shared" ca="1" si="9"/>
        <v>24</v>
      </c>
      <c r="Q17" s="6">
        <v>0.40277777777777773</v>
      </c>
      <c r="R17" s="6">
        <v>0.73263888888888884</v>
      </c>
      <c r="S17" s="8">
        <f t="shared" si="10"/>
        <v>0.3298611111111111</v>
      </c>
    </row>
    <row r="18" spans="1:19" x14ac:dyDescent="0.25">
      <c r="A18" s="4">
        <v>44620</v>
      </c>
      <c r="B18">
        <f t="shared" si="0"/>
        <v>28</v>
      </c>
      <c r="C18">
        <f t="shared" si="1"/>
        <v>2</v>
      </c>
      <c r="D18">
        <f t="shared" si="2"/>
        <v>2022</v>
      </c>
      <c r="E18" s="1">
        <f t="shared" si="3"/>
        <v>44620</v>
      </c>
      <c r="G18" s="2">
        <v>0.45202546296296298</v>
      </c>
      <c r="H18">
        <f t="shared" si="4"/>
        <v>10</v>
      </c>
      <c r="I18">
        <f t="shared" si="5"/>
        <v>50</v>
      </c>
      <c r="J18">
        <f t="shared" si="6"/>
        <v>55</v>
      </c>
      <c r="K18" s="7">
        <f t="shared" si="7"/>
        <v>0.45202546296296298</v>
      </c>
      <c r="M18" s="1">
        <v>34575</v>
      </c>
      <c r="N18">
        <f t="shared" ca="1" si="8"/>
        <v>31.641095890410959</v>
      </c>
      <c r="O18">
        <f t="shared" ca="1" si="9"/>
        <v>32</v>
      </c>
      <c r="Q18" s="6">
        <v>0.39930555555555558</v>
      </c>
      <c r="R18" s="6">
        <v>0.68263888888888891</v>
      </c>
      <c r="S18" s="8">
        <f t="shared" si="10"/>
        <v>0.28333333333333333</v>
      </c>
    </row>
    <row r="19" spans="1:19" x14ac:dyDescent="0.25">
      <c r="A19" s="4">
        <v>44315</v>
      </c>
      <c r="B19">
        <f t="shared" si="0"/>
        <v>29</v>
      </c>
      <c r="C19">
        <f t="shared" si="1"/>
        <v>4</v>
      </c>
      <c r="D19">
        <f t="shared" si="2"/>
        <v>2021</v>
      </c>
      <c r="E19" s="1">
        <f t="shared" si="3"/>
        <v>44315</v>
      </c>
      <c r="G19" s="2">
        <v>0.65642361111111114</v>
      </c>
      <c r="H19">
        <f t="shared" si="4"/>
        <v>15</v>
      </c>
      <c r="I19">
        <f t="shared" si="5"/>
        <v>45</v>
      </c>
      <c r="J19">
        <f t="shared" si="6"/>
        <v>15</v>
      </c>
      <c r="K19" s="7">
        <f t="shared" si="7"/>
        <v>0.65642361111111114</v>
      </c>
      <c r="M19" s="1">
        <v>36168</v>
      </c>
      <c r="N19">
        <f t="shared" ca="1" si="8"/>
        <v>27.276712328767122</v>
      </c>
      <c r="O19">
        <f t="shared" ca="1" si="9"/>
        <v>27</v>
      </c>
      <c r="Q19" s="6">
        <v>0.35416666666666669</v>
      </c>
      <c r="R19" s="6">
        <v>0.625</v>
      </c>
      <c r="S19" s="8">
        <f t="shared" si="10"/>
        <v>0.27083333333333331</v>
      </c>
    </row>
    <row r="20" spans="1:19" x14ac:dyDescent="0.25">
      <c r="A20" s="4">
        <v>45137</v>
      </c>
      <c r="B20">
        <f t="shared" si="0"/>
        <v>30</v>
      </c>
      <c r="C20">
        <f t="shared" si="1"/>
        <v>7</v>
      </c>
      <c r="D20">
        <f t="shared" si="2"/>
        <v>2023</v>
      </c>
      <c r="E20" s="1">
        <f t="shared" si="3"/>
        <v>45137</v>
      </c>
      <c r="G20" s="2">
        <v>0.8403356481481481</v>
      </c>
      <c r="H20">
        <f t="shared" si="4"/>
        <v>20</v>
      </c>
      <c r="I20">
        <f t="shared" si="5"/>
        <v>10</v>
      </c>
      <c r="J20">
        <f t="shared" si="6"/>
        <v>5</v>
      </c>
      <c r="K20" s="7">
        <f t="shared" si="7"/>
        <v>0.8403356481481481</v>
      </c>
      <c r="M20" s="1">
        <v>37794</v>
      </c>
      <c r="N20">
        <f t="shared" ca="1" si="8"/>
        <v>22.82191780821918</v>
      </c>
      <c r="O20">
        <f t="shared" ca="1" si="9"/>
        <v>23</v>
      </c>
      <c r="Q20" s="6">
        <v>0.46597222222222223</v>
      </c>
      <c r="R20" s="6">
        <v>0.67499999999999993</v>
      </c>
      <c r="S20" s="8">
        <f t="shared" si="10"/>
        <v>0.2090277777777777</v>
      </c>
    </row>
    <row r="21" spans="1:19" x14ac:dyDescent="0.25">
      <c r="A21" s="4"/>
      <c r="E21" s="1"/>
      <c r="G21" s="2"/>
      <c r="M21" s="1"/>
      <c r="Q21" s="2"/>
      <c r="R21" s="5"/>
    </row>
    <row r="22" spans="1:19" x14ac:dyDescent="0.25">
      <c r="A22" s="1"/>
      <c r="G22" s="2"/>
      <c r="M22" s="1"/>
    </row>
    <row r="23" spans="1:19" x14ac:dyDescent="0.25">
      <c r="A23" s="1"/>
      <c r="G23" s="2"/>
      <c r="M23" s="1"/>
    </row>
    <row r="24" spans="1:19" x14ac:dyDescent="0.25">
      <c r="A24" s="1"/>
      <c r="G24" s="2"/>
      <c r="M24" s="1"/>
    </row>
    <row r="25" spans="1:19" x14ac:dyDescent="0.25">
      <c r="A25" s="1"/>
      <c r="G25" s="2"/>
      <c r="M25" s="1"/>
    </row>
    <row r="26" spans="1:19" x14ac:dyDescent="0.25">
      <c r="A26" s="1"/>
      <c r="G26" s="2"/>
      <c r="M26" s="1"/>
    </row>
    <row r="27" spans="1:19" x14ac:dyDescent="0.25">
      <c r="A27" s="1"/>
      <c r="G27" s="2"/>
      <c r="M27" s="1"/>
    </row>
    <row r="28" spans="1:19" x14ac:dyDescent="0.25">
      <c r="A28" s="1"/>
      <c r="G28" s="2"/>
      <c r="M28" s="1"/>
    </row>
    <row r="29" spans="1:19" x14ac:dyDescent="0.25">
      <c r="A29" s="1"/>
      <c r="G29" s="2"/>
      <c r="M29" s="1"/>
    </row>
    <row r="30" spans="1:19" x14ac:dyDescent="0.25">
      <c r="A30" s="1"/>
      <c r="G30" s="2"/>
      <c r="M30" s="1"/>
    </row>
    <row r="31" spans="1:19" x14ac:dyDescent="0.25">
      <c r="A31" s="1"/>
      <c r="G31" s="2"/>
      <c r="M31" s="1"/>
    </row>
  </sheetData>
  <conditionalFormatting sqref="S2:S20">
    <cfRule type="top10" dxfId="2" priority="3" percent="1" bottom="1" rank="10"/>
  </conditionalFormatting>
  <conditionalFormatting sqref="O2:O20">
    <cfRule type="top10" dxfId="1" priority="2" percent="1" bottom="1" rank="10"/>
  </conditionalFormatting>
  <conditionalFormatting sqref="A2:A20">
    <cfRule type="cellIs" dxfId="0" priority="1" stopIfTrue="1" operator="equal">
      <formula>"Saturday, Sunday"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2026-04-12T12:06:47Z</dcterms:created>
  <dcterms:modified xsi:type="dcterms:W3CDTF">2026-04-12T12:58:14Z</dcterms:modified>
</cp:coreProperties>
</file>