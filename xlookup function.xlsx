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ki DA\M.D ZAKI\"/>
    </mc:Choice>
  </mc:AlternateContent>
  <xr:revisionPtr revIDLastSave="0" documentId="8_{AE7FD6C6-E105-4CC5-9349-EFCB87E72703}" xr6:coauthVersionLast="47" xr6:coauthVersionMax="47" xr10:uidLastSave="{00000000-0000-0000-0000-000000000000}"/>
  <bookViews>
    <workbookView xWindow="0" yWindow="0" windowWidth="20490" windowHeight="7005" xr2:uid="{00000000-000D-0000-FFFF-FFFF00000000}"/>
  </bookViews>
  <sheets>
    <sheet name="xlookup function csv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I3" i="1"/>
  <c r="I4" i="1"/>
  <c r="I5" i="1"/>
  <c r="I6" i="1"/>
  <c r="I7" i="1"/>
  <c r="I8" i="1"/>
  <c r="I9" i="1"/>
  <c r="I10" i="1"/>
  <c r="I11" i="1"/>
  <c r="J2" i="1"/>
  <c r="I2" i="1"/>
  <c r="G9" i="1" a="1"/>
  <c r="G9" i="1"/>
  <c r="G10" i="1" a="1"/>
  <c r="G10" i="1"/>
  <c r="G11" i="1" a="1"/>
  <c r="G11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2" i="1" a="1"/>
  <c r="G2" i="1"/>
  <c r="B18" i="1" a="1"/>
  <c r="B18" i="1"/>
  <c r="B19" i="1" a="1"/>
  <c r="B19" i="1"/>
  <c r="B20" i="1" a="1"/>
  <c r="B20" i="1"/>
  <c r="B17" i="1" a="1"/>
  <c r="B17" i="1"/>
  <c r="J20" i="1"/>
  <c r="J21" i="1"/>
  <c r="J22" i="1"/>
  <c r="J23" i="1"/>
  <c r="J24" i="1"/>
  <c r="J25" i="1"/>
  <c r="J26" i="1"/>
  <c r="J18" i="1"/>
  <c r="J19" i="1"/>
  <c r="J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<sst xmlns="http://schemas.openxmlformats.org/spreadsheetml/2006/main" count="66" uniqueCount="35">
  <si>
    <t>Product_Id</t>
  </si>
  <si>
    <t>Product_Name</t>
  </si>
  <si>
    <t>Bought_Qty</t>
  </si>
  <si>
    <t>Sold_Qty</t>
  </si>
  <si>
    <t>Stock</t>
  </si>
  <si>
    <t>Date</t>
  </si>
  <si>
    <t xml:space="preserve"> Price </t>
  </si>
  <si>
    <t>Discount</t>
  </si>
  <si>
    <t>Discount Amount</t>
  </si>
  <si>
    <t>Amount</t>
  </si>
  <si>
    <t>P001</t>
  </si>
  <si>
    <t>Wireless Mouse</t>
  </si>
  <si>
    <t>P002</t>
  </si>
  <si>
    <t>Mechanical Keyboard</t>
  </si>
  <si>
    <t>P003</t>
  </si>
  <si>
    <t>27-inch Monitor</t>
  </si>
  <si>
    <t>P004</t>
  </si>
  <si>
    <t>USB-C Hub</t>
  </si>
  <si>
    <t>P005</t>
  </si>
  <si>
    <t>Noise Cancelling Headphones</t>
  </si>
  <si>
    <t>P006</t>
  </si>
  <si>
    <t>Webcam 1080p</t>
  </si>
  <si>
    <t>P007</t>
  </si>
  <si>
    <t>Laptop Stand</t>
  </si>
  <si>
    <t>P008</t>
  </si>
  <si>
    <t>LED Desk Lamp</t>
  </si>
  <si>
    <t>P009</t>
  </si>
  <si>
    <t>External SSD 1TB</t>
  </si>
  <si>
    <t>P010</t>
  </si>
  <si>
    <t>Gaming Chair</t>
  </si>
  <si>
    <t>Sr. No.</t>
  </si>
  <si>
    <t>Product  Name</t>
  </si>
  <si>
    <t>Bought Qty</t>
  </si>
  <si>
    <t xml:space="preserve">Product Name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</si>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</sst>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/>
    </xf>
    <xf numFmtId="164" fontId="0" fillId="0" borderId="0" xfId="0" applyNumberFormat="1"/>
    <xf numFmtId="0" fontId="0" fillId="0" borderId="0" xfId="0" applyNumberFormat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C1" workbookViewId="0">
      <selection activeCell="J1" sqref="I1:J1"/>
    </sheetView>
  </sheetViews>
  <sheetFormatPr defaultRowHeight="15"/>
  <cols>
    <col min="1" max="1" width="16.7109375" customWidth="1"/>
    <col min="2" max="2" width="27.85546875" bestFit="1" customWidth="1"/>
    <col min="3" max="3" width="11.140625" bestFit="1" customWidth="1"/>
    <col min="4" max="4" width="15" bestFit="1" customWidth="1"/>
    <col min="5" max="5" width="11.5703125" bestFit="1" customWidth="1"/>
    <col min="6" max="6" width="25.7109375" bestFit="1" customWidth="1"/>
    <col min="7" max="7" width="25.7109375" customWidth="1"/>
    <col min="8" max="10" width="26.5703125" bestFit="1" customWidth="1"/>
    <col min="11" max="11" width="11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</row>
    <row r="2" spans="1:10">
      <c r="A2" s="2" t="s">
        <v>10</v>
      </c>
      <c r="B2" s="2" t="s">
        <v>11</v>
      </c>
      <c r="C2" s="2">
        <v>100</v>
      </c>
      <c r="D2" s="2">
        <v>45</v>
      </c>
      <c r="E2" s="2">
        <v>55</v>
      </c>
      <c r="F2" s="4">
        <v>46082</v>
      </c>
      <c r="G2" s="7" cm="1">
        <f t="array" ref="G2:H2">_xlfn.XLOOKUP(B2,Sheet1!A2:A11,Sheet1!B2:C11)</f>
        <v>1000</v>
      </c>
      <c r="H2" s="10">
        <v>0.1</v>
      </c>
      <c r="I2" s="9">
        <f>SUMPRODUCT(G2,H2)</f>
        <v>100</v>
      </c>
      <c r="J2" s="9">
        <f>G2-I2</f>
        <v>900</v>
      </c>
    </row>
    <row r="3" spans="1:10">
      <c r="A3" s="2" t="s">
        <v>12</v>
      </c>
      <c r="B3" s="2" t="s">
        <v>13</v>
      </c>
      <c r="C3" s="2">
        <v>50</v>
      </c>
      <c r="D3" s="2">
        <v>12</v>
      </c>
      <c r="E3" s="2">
        <v>38</v>
      </c>
      <c r="F3" s="4">
        <v>46082</v>
      </c>
      <c r="G3" s="7" cm="1">
        <f t="array" ref="G3:H3">_xlfn.XLOOKUP(B3,Sheet1!A3:A12,Sheet1!B3:C12)</f>
        <v>1500</v>
      </c>
      <c r="H3" s="10">
        <v>0.15</v>
      </c>
      <c r="I3" s="9">
        <f t="shared" ref="I3:I11" si="0">SUMPRODUCT(G3,H3)</f>
        <v>225</v>
      </c>
      <c r="J3" s="9">
        <f t="shared" ref="J3:J11" si="1">G3-I3</f>
        <v>1275</v>
      </c>
    </row>
    <row r="4" spans="1:10">
      <c r="A4" s="2" t="s">
        <v>14</v>
      </c>
      <c r="B4" s="2" t="s">
        <v>15</v>
      </c>
      <c r="C4" s="2">
        <v>30</v>
      </c>
      <c r="D4" s="2">
        <v>5</v>
      </c>
      <c r="E4" s="2">
        <v>25</v>
      </c>
      <c r="F4" s="4">
        <v>46083</v>
      </c>
      <c r="G4" s="7" cm="1">
        <f t="array" ref="G4:H4">_xlfn.XLOOKUP(B4,Sheet1!A4:A13,Sheet1!B4:C13)</f>
        <v>7500</v>
      </c>
      <c r="H4" s="10">
        <v>0.1</v>
      </c>
      <c r="I4" s="9">
        <f t="shared" si="0"/>
        <v>750</v>
      </c>
      <c r="J4" s="9">
        <f t="shared" si="1"/>
        <v>6750</v>
      </c>
    </row>
    <row r="5" spans="1:10">
      <c r="A5" s="2" t="s">
        <v>16</v>
      </c>
      <c r="B5" s="2" t="s">
        <v>17</v>
      </c>
      <c r="C5" s="2">
        <v>80</v>
      </c>
      <c r="D5" s="2">
        <v>30</v>
      </c>
      <c r="E5" s="2">
        <v>50</v>
      </c>
      <c r="F5" s="4">
        <v>46083</v>
      </c>
      <c r="G5" s="7" cm="1">
        <f t="array" ref="G5:H5">_xlfn.XLOOKUP(B5,Sheet1!A5:A14,Sheet1!B5:C14)</f>
        <v>500</v>
      </c>
      <c r="H5" s="10">
        <v>0.05</v>
      </c>
      <c r="I5" s="9">
        <f t="shared" si="0"/>
        <v>25</v>
      </c>
      <c r="J5" s="9">
        <f t="shared" si="1"/>
        <v>475</v>
      </c>
    </row>
    <row r="6" spans="1:10">
      <c r="A6" s="2" t="s">
        <v>18</v>
      </c>
      <c r="B6" s="2" t="s">
        <v>19</v>
      </c>
      <c r="C6" s="2">
        <v>40</v>
      </c>
      <c r="D6" s="2">
        <v>15</v>
      </c>
      <c r="E6" s="2">
        <v>25</v>
      </c>
      <c r="F6" s="4">
        <v>46084</v>
      </c>
      <c r="G6" s="7" cm="1">
        <f t="array" ref="G6:H6">_xlfn.XLOOKUP(B6,Sheet1!A6:A15,Sheet1!B6:C15)</f>
        <v>4000</v>
      </c>
      <c r="H6" s="10">
        <v>0.05</v>
      </c>
      <c r="I6" s="9">
        <f t="shared" si="0"/>
        <v>200</v>
      </c>
      <c r="J6" s="9">
        <f t="shared" si="1"/>
        <v>3800</v>
      </c>
    </row>
    <row r="7" spans="1:10">
      <c r="A7" s="2" t="s">
        <v>20</v>
      </c>
      <c r="B7" s="2" t="s">
        <v>21</v>
      </c>
      <c r="C7" s="2">
        <v>60</v>
      </c>
      <c r="D7" s="2">
        <v>22</v>
      </c>
      <c r="E7" s="2">
        <v>38</v>
      </c>
      <c r="F7" s="4">
        <v>46084</v>
      </c>
      <c r="G7" s="7" cm="1">
        <f t="array" ref="G7:H7">_xlfn.XLOOKUP(B7,Sheet1!A7:A16,Sheet1!B7:C16)</f>
        <v>3500</v>
      </c>
      <c r="H7" s="10">
        <v>0.15</v>
      </c>
      <c r="I7" s="9">
        <f t="shared" si="0"/>
        <v>525</v>
      </c>
      <c r="J7" s="9">
        <f t="shared" si="1"/>
        <v>2975</v>
      </c>
    </row>
    <row r="8" spans="1:10">
      <c r="A8" s="2" t="s">
        <v>22</v>
      </c>
      <c r="B8" s="2" t="s">
        <v>23</v>
      </c>
      <c r="C8" s="2">
        <v>45</v>
      </c>
      <c r="D8" s="2">
        <v>10</v>
      </c>
      <c r="E8" s="2">
        <v>35</v>
      </c>
      <c r="F8" s="4">
        <v>46085</v>
      </c>
      <c r="G8" s="7" cm="1">
        <f t="array" ref="G8:H8">_xlfn.XLOOKUP(B8,Sheet1!A8:A17,Sheet1!B8:C17)</f>
        <v>2500</v>
      </c>
      <c r="H8" s="10">
        <v>0.2</v>
      </c>
      <c r="I8" s="9">
        <f t="shared" si="0"/>
        <v>500</v>
      </c>
      <c r="J8" s="9">
        <f t="shared" si="1"/>
        <v>2000</v>
      </c>
    </row>
    <row r="9" spans="1:10">
      <c r="A9" s="2" t="s">
        <v>24</v>
      </c>
      <c r="B9" s="2" t="s">
        <v>25</v>
      </c>
      <c r="C9" s="2">
        <v>35</v>
      </c>
      <c r="D9" s="2">
        <v>8</v>
      </c>
      <c r="E9" s="2">
        <v>27</v>
      </c>
      <c r="F9" s="4">
        <v>46085</v>
      </c>
      <c r="G9" s="7" cm="1">
        <f t="array" ref="G9:H9">_xlfn.XLOOKUP(B9,Sheet1!A9:A18,Sheet1!B9:C18)</f>
        <v>1500</v>
      </c>
      <c r="H9" s="10">
        <v>0.1</v>
      </c>
      <c r="I9" s="9">
        <f t="shared" si="0"/>
        <v>150</v>
      </c>
      <c r="J9" s="9">
        <f t="shared" si="1"/>
        <v>1350</v>
      </c>
    </row>
    <row r="10" spans="1:10">
      <c r="A10" s="2" t="s">
        <v>26</v>
      </c>
      <c r="B10" s="2" t="s">
        <v>27</v>
      </c>
      <c r="C10" s="2">
        <v>25</v>
      </c>
      <c r="D10" s="2">
        <v>14</v>
      </c>
      <c r="E10" s="2">
        <v>11</v>
      </c>
      <c r="F10" s="4">
        <v>46086</v>
      </c>
      <c r="G10" s="7" cm="1">
        <f t="array" ref="G10:H10">_xlfn.XLOOKUP(B10,Sheet1!A10:A19,Sheet1!B10:C19)</f>
        <v>11500</v>
      </c>
      <c r="H10" s="10">
        <v>0.1</v>
      </c>
      <c r="I10" s="9">
        <f t="shared" si="0"/>
        <v>1150</v>
      </c>
      <c r="J10" s="9">
        <f t="shared" si="1"/>
        <v>10350</v>
      </c>
    </row>
    <row r="11" spans="1:10">
      <c r="A11" s="2" t="s">
        <v>28</v>
      </c>
      <c r="B11" s="2" t="s">
        <v>29</v>
      </c>
      <c r="C11" s="2">
        <v>15</v>
      </c>
      <c r="D11" s="2">
        <v>3</v>
      </c>
      <c r="E11" s="2">
        <v>12</v>
      </c>
      <c r="F11" s="4">
        <v>46086</v>
      </c>
      <c r="G11" s="7" cm="1">
        <f t="array" ref="G11:H11">_xlfn.XLOOKUP(B11,Sheet1!A11:A20,Sheet1!B11:C20)</f>
        <v>9500</v>
      </c>
      <c r="H11" s="10">
        <v>0.05</v>
      </c>
      <c r="I11" s="9">
        <f t="shared" si="0"/>
        <v>475</v>
      </c>
      <c r="J11" s="9">
        <f t="shared" si="1"/>
        <v>9025</v>
      </c>
    </row>
    <row r="12" spans="1:10">
      <c r="A12" s="2"/>
      <c r="B12" s="2"/>
      <c r="C12" s="2"/>
      <c r="D12" s="2"/>
      <c r="E12" s="2"/>
      <c r="F12" s="4"/>
      <c r="G12" s="4"/>
    </row>
    <row r="13" spans="1:10">
      <c r="A13" s="2"/>
      <c r="B13" s="2"/>
      <c r="C13" s="2"/>
      <c r="D13" s="2"/>
      <c r="E13" s="2"/>
      <c r="F13" s="4"/>
      <c r="G13" s="4"/>
    </row>
    <row r="14" spans="1:10">
      <c r="A14" s="2"/>
      <c r="B14" s="2"/>
      <c r="C14" s="2"/>
      <c r="D14" s="2"/>
      <c r="E14" s="2"/>
      <c r="F14" s="4"/>
      <c r="G14" s="4"/>
    </row>
    <row r="15" spans="1:10">
      <c r="A15" s="2"/>
      <c r="B15" s="2"/>
      <c r="C15" s="2"/>
      <c r="D15" s="2"/>
      <c r="E15" s="2"/>
      <c r="F15" s="4"/>
      <c r="G15" s="4"/>
    </row>
    <row r="16" spans="1:10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3" t="s">
        <v>5</v>
      </c>
      <c r="H16" s="1" t="s">
        <v>30</v>
      </c>
      <c r="I16" s="1" t="s">
        <v>31</v>
      </c>
      <c r="J16" s="1" t="s">
        <v>32</v>
      </c>
    </row>
    <row r="17" spans="1:10">
      <c r="A17" s="2" t="s">
        <v>14</v>
      </c>
      <c r="B17" s="2" t="str" cm="1">
        <f t="array" ref="B17:F17">_xlfn.XLOOKUP(A17,A2:A11,B2:F11)</f>
        <v>27-inch Monitor</v>
      </c>
      <c r="C17" s="2">
        <v>30</v>
      </c>
      <c r="D17" s="7">
        <v>5</v>
      </c>
      <c r="E17" s="7">
        <v>25</v>
      </c>
      <c r="F17" s="6">
        <v>46083</v>
      </c>
      <c r="H17" s="2">
        <v>1</v>
      </c>
      <c r="I17" s="2" t="s">
        <v>19</v>
      </c>
      <c r="J17" s="2">
        <f>_xlfn.XLOOKUP(I17,B:B,C:C," Not Found")</f>
        <v>40</v>
      </c>
    </row>
    <row r="18" spans="1:10">
      <c r="A18" s="2" t="s">
        <v>10</v>
      </c>
      <c r="B18" s="2" t="str" cm="1">
        <f t="array" ref="B18:F18">_xlfn.XLOOKUP(A18,A2:A11,B2:F11,"NOT FOUND")</f>
        <v>Wireless Mouse</v>
      </c>
      <c r="C18" s="2">
        <v>100</v>
      </c>
      <c r="D18" s="7">
        <v>45</v>
      </c>
      <c r="E18" s="7">
        <v>55</v>
      </c>
      <c r="F18" s="6">
        <v>46082</v>
      </c>
      <c r="H18" s="2">
        <v>2</v>
      </c>
      <c r="I18" s="2" t="s">
        <v>15</v>
      </c>
      <c r="J18" s="2">
        <f>_xlfn.XLOOKUP(I18,B:B,C:C," Not Found")</f>
        <v>30</v>
      </c>
    </row>
    <row r="19" spans="1:10">
      <c r="A19" s="2" t="s">
        <v>26</v>
      </c>
      <c r="B19" s="2" t="str" cm="1">
        <f t="array" ref="B19:F19">_xlfn.XLOOKUP(A19,A4:A13,B4:F13)</f>
        <v>External SSD 1TB</v>
      </c>
      <c r="C19" s="2">
        <v>25</v>
      </c>
      <c r="D19" s="7">
        <v>14</v>
      </c>
      <c r="E19" s="7">
        <v>11</v>
      </c>
      <c r="F19" s="6">
        <v>46086</v>
      </c>
      <c r="H19" s="2">
        <v>3</v>
      </c>
      <c r="I19" s="2" t="s">
        <v>17</v>
      </c>
      <c r="J19" s="2">
        <f>_xlfn.XLOOKUP(I19,B:B,C:C," Not Found")</f>
        <v>80</v>
      </c>
    </row>
    <row r="20" spans="1:10">
      <c r="A20" s="2" t="s">
        <v>22</v>
      </c>
      <c r="B20" s="2" t="str" cm="1">
        <f t="array" ref="B20:F20">_xlfn.XLOOKUP(A20,A5:A14,B5:F14)</f>
        <v>Laptop Stand</v>
      </c>
      <c r="C20" s="2">
        <v>45</v>
      </c>
      <c r="D20" s="7">
        <v>10</v>
      </c>
      <c r="E20" s="7">
        <v>35</v>
      </c>
      <c r="F20" s="6">
        <v>46085</v>
      </c>
      <c r="H20" s="2">
        <v>4</v>
      </c>
      <c r="I20" s="2" t="s">
        <v>19</v>
      </c>
      <c r="J20" s="2">
        <f>_xlfn.XLOOKUP(I20,B:B,C:C," Not Found")</f>
        <v>40</v>
      </c>
    </row>
    <row r="21" spans="1:10">
      <c r="A21" s="2"/>
      <c r="B21" s="2"/>
      <c r="C21" s="2"/>
      <c r="D21" s="2"/>
      <c r="E21" s="2"/>
      <c r="F21" s="4"/>
      <c r="G21" s="4"/>
      <c r="H21" s="2">
        <v>5</v>
      </c>
      <c r="I21" s="2" t="s">
        <v>25</v>
      </c>
      <c r="J21" s="2">
        <f>_xlfn.XLOOKUP(I21,B:B,C:C," Not Found")</f>
        <v>35</v>
      </c>
    </row>
    <row r="22" spans="1:10">
      <c r="A22" s="2"/>
      <c r="B22" s="2"/>
      <c r="C22" s="2"/>
      <c r="D22" s="2"/>
      <c r="E22" s="2"/>
      <c r="F22" s="4"/>
      <c r="G22" s="4"/>
      <c r="H22" s="2">
        <v>6</v>
      </c>
      <c r="I22" s="2" t="s">
        <v>21</v>
      </c>
      <c r="J22" s="2">
        <f>_xlfn.XLOOKUP(I22,B:B,C:C," Not Found")</f>
        <v>60</v>
      </c>
    </row>
    <row r="23" spans="1:10">
      <c r="A23" s="2"/>
      <c r="B23" s="2"/>
      <c r="C23" s="2"/>
      <c r="D23" s="2"/>
      <c r="E23" s="2"/>
      <c r="F23" s="4"/>
      <c r="G23" s="4"/>
      <c r="H23" s="2">
        <v>7</v>
      </c>
      <c r="I23" s="2" t="s">
        <v>13</v>
      </c>
      <c r="J23" s="2">
        <f>_xlfn.XLOOKUP(I23,B:B,C:C," Not Found")</f>
        <v>50</v>
      </c>
    </row>
    <row r="24" spans="1:10">
      <c r="A24" s="2"/>
      <c r="B24" s="2"/>
      <c r="C24" s="2"/>
      <c r="D24" s="2"/>
      <c r="E24" s="2"/>
      <c r="F24" s="4"/>
      <c r="G24" s="4"/>
      <c r="H24" s="2">
        <v>8</v>
      </c>
      <c r="I24" s="2" t="s">
        <v>11</v>
      </c>
      <c r="J24" s="2">
        <f>_xlfn.XLOOKUP(I24,B:B,C:C," Not Found")</f>
        <v>100</v>
      </c>
    </row>
    <row r="25" spans="1:10">
      <c r="A25" s="2"/>
      <c r="B25" s="2"/>
      <c r="C25" s="2"/>
      <c r="D25" s="2"/>
      <c r="E25" s="2"/>
      <c r="F25" s="4"/>
      <c r="G25" s="4"/>
      <c r="H25" s="2">
        <v>9</v>
      </c>
      <c r="I25" s="2" t="s">
        <v>13</v>
      </c>
      <c r="J25" s="2">
        <f>_xlfn.XLOOKUP(I25,B:B,C:C," Not Found")</f>
        <v>50</v>
      </c>
    </row>
    <row r="26" spans="1:10">
      <c r="A26" s="2"/>
      <c r="B26" s="2"/>
      <c r="C26" s="2"/>
      <c r="D26" s="2"/>
      <c r="E26" s="2"/>
      <c r="F26" s="4"/>
      <c r="G26" s="4"/>
      <c r="H26" s="2">
        <v>10</v>
      </c>
      <c r="I26" s="2" t="s">
        <v>17</v>
      </c>
      <c r="J26" s="2">
        <f>_xlfn.XLOOKUP(I26,B:B,C:C," Not Found")</f>
        <v>80</v>
      </c>
    </row>
    <row r="27" spans="1:10">
      <c r="A27" s="2"/>
      <c r="B27" s="2"/>
      <c r="C27" s="2"/>
      <c r="D27" s="2"/>
      <c r="E27" s="2"/>
      <c r="F27" s="4"/>
      <c r="G27" s="4"/>
    </row>
    <row r="28" spans="1:10">
      <c r="A28" s="2"/>
      <c r="B28" s="2"/>
      <c r="C28" s="2"/>
      <c r="D28" s="2"/>
      <c r="E28" s="2"/>
      <c r="F28" s="4"/>
      <c r="G28" s="4"/>
    </row>
    <row r="29" spans="1:10">
      <c r="A29" s="2"/>
      <c r="B29" s="2"/>
      <c r="C29" s="2"/>
      <c r="D29" s="2"/>
      <c r="E29" s="2"/>
      <c r="F29" s="4"/>
      <c r="G29" s="4"/>
    </row>
    <row r="30" spans="1:10">
      <c r="A30" s="2"/>
      <c r="B30" s="2"/>
      <c r="C30" s="2"/>
      <c r="D30" s="2"/>
      <c r="E30" s="2"/>
      <c r="F30" s="4"/>
      <c r="G30" s="4"/>
    </row>
    <row r="31" spans="1:10">
      <c r="A31" s="2"/>
      <c r="B31" s="2"/>
      <c r="C31" s="2"/>
      <c r="D31" s="2"/>
      <c r="E31" s="2"/>
      <c r="F31" s="4"/>
      <c r="G31" s="4"/>
    </row>
    <row r="32" spans="1:10">
      <c r="A32" s="2"/>
      <c r="B32" s="2"/>
      <c r="C32" s="2"/>
      <c r="D32" s="2"/>
      <c r="E32" s="2"/>
      <c r="F32" s="4"/>
      <c r="G32" s="4"/>
    </row>
    <row r="33" spans="1:7">
      <c r="A33" s="2"/>
      <c r="B33" s="2"/>
      <c r="C33" s="2"/>
      <c r="D33" s="2"/>
      <c r="E33" s="2"/>
      <c r="F33" s="4"/>
      <c r="G33" s="4"/>
    </row>
    <row r="34" spans="1:7">
      <c r="A34" s="2"/>
      <c r="B34" s="2"/>
      <c r="C34" s="2"/>
      <c r="D34" s="2"/>
      <c r="E34" s="2"/>
      <c r="F34" s="4"/>
      <c r="G34" s="4"/>
    </row>
    <row r="35" spans="1:7">
      <c r="A35" s="2"/>
      <c r="B35" s="2"/>
      <c r="C35" s="2"/>
      <c r="D35" s="2"/>
      <c r="E35" s="2"/>
      <c r="F35" s="4"/>
      <c r="G35" s="4"/>
    </row>
    <row r="36" spans="1:7">
      <c r="A36" s="2"/>
      <c r="B36" s="2"/>
      <c r="C36" s="2"/>
      <c r="D36" s="2"/>
      <c r="E36" s="2"/>
      <c r="F36" s="4"/>
      <c r="G36" s="4"/>
    </row>
    <row r="37" spans="1:7">
      <c r="A37" s="2"/>
      <c r="B37" s="2"/>
      <c r="C37" s="2"/>
      <c r="D37" s="2"/>
      <c r="E37" s="2"/>
      <c r="F37" s="4"/>
      <c r="G37" s="4"/>
    </row>
    <row r="38" spans="1:7">
      <c r="A38" s="2"/>
      <c r="B38" s="2"/>
      <c r="C38" s="2"/>
      <c r="D38" s="2"/>
      <c r="E38" s="2"/>
      <c r="F38" s="4"/>
      <c r="G38" s="4"/>
    </row>
  </sheetData>
  <dataValidations count="2">
    <dataValidation type="list" allowBlank="1" showInputMessage="1" showErrorMessage="1" sqref="I17:I26" xr:uid="{00000000-0002-0000-0000-000000000000}">
      <formula1>$B$2:$B$11</formula1>
    </dataValidation>
    <dataValidation type="list" allowBlank="1" showInputMessage="1" showErrorMessage="1" sqref="C21:C24 A17:A20" xr:uid="{E9B69CCD-91AA-4580-8D7C-50F96042FD38}">
      <formula1>$A$2:$A$11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BCAE-4D5F-44EA-A6CE-8464F8961A94}">
  <dimension ref="A1:C11"/>
  <sheetViews>
    <sheetView workbookViewId="0">
      <selection activeCell="E9" sqref="E9"/>
    </sheetView>
  </sheetViews>
  <sheetFormatPr defaultRowHeight="15"/>
  <cols>
    <col min="1" max="1" width="26.5703125" bestFit="1" customWidth="1"/>
    <col min="2" max="3" width="9.42578125" bestFit="1" customWidth="1"/>
  </cols>
  <sheetData>
    <row r="1" spans="1:3">
      <c r="A1" t="s">
        <v>33</v>
      </c>
      <c r="B1" t="s">
        <v>34</v>
      </c>
      <c r="C1" t="s">
        <v>7</v>
      </c>
    </row>
    <row r="2" spans="1:3">
      <c r="A2" s="2" t="s">
        <v>11</v>
      </c>
      <c r="B2">
        <v>1000</v>
      </c>
      <c r="C2" s="8">
        <v>0.1</v>
      </c>
    </row>
    <row r="3" spans="1:3">
      <c r="A3" s="2" t="s">
        <v>13</v>
      </c>
      <c r="B3">
        <v>1500</v>
      </c>
      <c r="C3" s="8">
        <v>0.15</v>
      </c>
    </row>
    <row r="4" spans="1:3">
      <c r="A4" s="2" t="s">
        <v>15</v>
      </c>
      <c r="B4">
        <v>7500</v>
      </c>
      <c r="C4" s="8">
        <v>0.1</v>
      </c>
    </row>
    <row r="5" spans="1:3">
      <c r="A5" s="2" t="s">
        <v>17</v>
      </c>
      <c r="B5">
        <v>500</v>
      </c>
      <c r="C5" s="8">
        <v>0.05</v>
      </c>
    </row>
    <row r="6" spans="1:3">
      <c r="A6" s="2" t="s">
        <v>19</v>
      </c>
      <c r="B6">
        <v>4000</v>
      </c>
      <c r="C6" s="8">
        <v>0.05</v>
      </c>
    </row>
    <row r="7" spans="1:3">
      <c r="A7" s="2" t="s">
        <v>21</v>
      </c>
      <c r="B7">
        <v>3500</v>
      </c>
      <c r="C7" s="8">
        <v>0.15</v>
      </c>
    </row>
    <row r="8" spans="1:3">
      <c r="A8" s="2" t="s">
        <v>23</v>
      </c>
      <c r="B8">
        <v>2500</v>
      </c>
      <c r="C8" s="8">
        <v>0.2</v>
      </c>
    </row>
    <row r="9" spans="1:3">
      <c r="A9" s="2" t="s">
        <v>25</v>
      </c>
      <c r="B9">
        <v>1500</v>
      </c>
      <c r="C9" s="8">
        <v>0.1</v>
      </c>
    </row>
    <row r="10" spans="1:3">
      <c r="A10" s="2" t="s">
        <v>27</v>
      </c>
      <c r="B10">
        <v>11500</v>
      </c>
      <c r="C10" s="8">
        <v>0.1</v>
      </c>
    </row>
    <row r="11" spans="1:3">
      <c r="A11" s="2" t="s">
        <v>29</v>
      </c>
      <c r="B11">
        <v>9500</v>
      </c>
      <c r="C11" s="8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2026-04-07T12:54:51Z</dcterms:created>
  <dcterms:modified xsi:type="dcterms:W3CDTF">2026-04-07T13:35:23Z</dcterms:modified>
  <cp:category/>
  <cp:contentStatus/>
</cp:coreProperties>
</file>