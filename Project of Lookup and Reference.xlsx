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Zaki DA\"/>
    </mc:Choice>
  </mc:AlternateContent>
  <xr:revisionPtr revIDLastSave="0" documentId="13_ncr:1_{990AF61B-5592-48A3-9E6B-6F16F0AF4073}" xr6:coauthVersionLast="36" xr6:coauthVersionMax="47" xr10:uidLastSave="{00000000-0000-0000-0000-000000000000}"/>
  <bookViews>
    <workbookView xWindow="0" yWindow="0" windowWidth="20490" windowHeight="7005" xr2:uid="{00000000-000D-0000-FFFF-FFFF00000000}"/>
  </bookViews>
  <sheets>
    <sheet name="EmployeeData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L7" i="1"/>
  <c r="M6" i="1"/>
  <c r="M5" i="1"/>
  <c r="M4" i="1"/>
  <c r="M3" i="1"/>
  <c r="L6" i="1"/>
  <c r="L5" i="1"/>
  <c r="L4" i="1"/>
  <c r="L3" i="1"/>
  <c r="K9" i="1" l="1"/>
  <c r="K8" i="1"/>
  <c r="K7" i="1"/>
  <c r="K6" i="1"/>
  <c r="K5" i="1"/>
  <c r="J9" i="1"/>
  <c r="J8" i="1"/>
  <c r="J7" i="1"/>
  <c r="J6" i="1"/>
  <c r="I8" i="1"/>
  <c r="I5" i="1"/>
  <c r="I4" i="1"/>
  <c r="I9" i="1"/>
  <c r="I7" i="1"/>
  <c r="I6" i="1"/>
  <c r="J5" i="1"/>
  <c r="K4" i="1"/>
  <c r="K3" i="1"/>
  <c r="J4" i="1"/>
  <c r="I3" i="1"/>
  <c r="J3" i="1"/>
</calcChain>
</file>

<file path=xl/sharedStrings.xml><?xml version="1.0" encoding="utf-8"?>
<sst xmlns="http://schemas.openxmlformats.org/spreadsheetml/2006/main" count="88" uniqueCount="58">
  <si>
    <t>Employee_ID</t>
  </si>
  <si>
    <t>Name</t>
  </si>
  <si>
    <t>Department</t>
  </si>
  <si>
    <t>Salary</t>
  </si>
  <si>
    <t>City</t>
  </si>
  <si>
    <t>Amit Sharma</t>
  </si>
  <si>
    <t>Sales</t>
  </si>
  <si>
    <t>Mumbai</t>
  </si>
  <si>
    <t>Lookup Employee_ID</t>
  </si>
  <si>
    <t>(VLOOKUP)</t>
  </si>
  <si>
    <t>Department (XLOOKUP)</t>
  </si>
  <si>
    <t>City (INDEX-MATCH)</t>
  </si>
  <si>
    <t>INDEX</t>
  </si>
  <si>
    <t>Priya Singh</t>
  </si>
  <si>
    <t>HR</t>
  </si>
  <si>
    <t>Delhi</t>
  </si>
  <si>
    <t>Rahul Verma</t>
  </si>
  <si>
    <t>IT</t>
  </si>
  <si>
    <t>Pune</t>
  </si>
  <si>
    <t>Sneha Patel</t>
  </si>
  <si>
    <t>Finance</t>
  </si>
  <si>
    <t>Ahmedabad</t>
  </si>
  <si>
    <t>Arjun Mehta</t>
  </si>
  <si>
    <t>Marketing</t>
  </si>
  <si>
    <t>Bangalore</t>
  </si>
  <si>
    <t>Neha Gupta</t>
  </si>
  <si>
    <t>Hyderabad</t>
  </si>
  <si>
    <t>Vikram Rao</t>
  </si>
  <si>
    <t>Chennai</t>
  </si>
  <si>
    <t>Kavya Nair</t>
  </si>
  <si>
    <t>Kochi</t>
  </si>
  <si>
    <t>Rohan Das</t>
  </si>
  <si>
    <t>Kolkata</t>
  </si>
  <si>
    <t>Anjali Iyer</t>
  </si>
  <si>
    <t>Karan Malhotra</t>
  </si>
  <si>
    <t>Meera Joshi</t>
  </si>
  <si>
    <t>Aditya Kapoor</t>
  </si>
  <si>
    <t>Pooja Desai</t>
  </si>
  <si>
    <t>Ritesh Kumar</t>
  </si>
  <si>
    <t>Patna</t>
  </si>
  <si>
    <t>Simran Kaur</t>
  </si>
  <si>
    <t>Chandigarh</t>
  </si>
  <si>
    <t>Deepak Yadav</t>
  </si>
  <si>
    <t>Jaipur</t>
  </si>
  <si>
    <t>Nidhi Shah</t>
  </si>
  <si>
    <t>Surat</t>
  </si>
  <si>
    <t>Manish Tiwari</t>
  </si>
  <si>
    <t>Lucknow</t>
  </si>
  <si>
    <t>Shreya Ghosh</t>
  </si>
  <si>
    <t>Varun Nair</t>
  </si>
  <si>
    <t>Alok Pandey</t>
  </si>
  <si>
    <t>Varanasi</t>
  </si>
  <si>
    <t>Tanvi Kulkarni</t>
  </si>
  <si>
    <t>Harsh Jain</t>
  </si>
  <si>
    <t>Indore</t>
  </si>
  <si>
    <t>Riya Sen</t>
  </si>
  <si>
    <t xml:space="preserve"> </t>
  </si>
  <si>
    <t>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</si>
</sst>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workbookViewId="0">
      <selection activeCell="G13" sqref="G13"/>
    </sheetView>
  </sheetViews>
  <sheetFormatPr defaultRowHeight="15" x14ac:dyDescent="0.25"/>
  <cols>
    <col min="2" max="2" width="14.42578125" bestFit="1" customWidth="1"/>
    <col min="3" max="3" width="11.7109375" bestFit="1" customWidth="1"/>
    <col min="5" max="5" width="11.42578125" bestFit="1" customWidth="1"/>
    <col min="8" max="8" width="19.28515625" bestFit="1" customWidth="1"/>
    <col min="9" max="9" width="16.42578125" bestFit="1" customWidth="1"/>
    <col min="10" max="10" width="21.7109375" bestFit="1" customWidth="1"/>
    <col min="11" max="11" width="18.5703125" bestFit="1" customWidth="1"/>
    <col min="12" max="12" width="11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3" x14ac:dyDescent="0.25">
      <c r="A2" s="2">
        <v>101</v>
      </c>
      <c r="B2" s="2" t="s">
        <v>5</v>
      </c>
      <c r="C2" s="2" t="s">
        <v>6</v>
      </c>
      <c r="D2" s="2">
        <v>35000</v>
      </c>
      <c r="E2" s="2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57</v>
      </c>
    </row>
    <row r="3" spans="1:13" x14ac:dyDescent="0.25">
      <c r="A3" s="2">
        <v>102</v>
      </c>
      <c r="B3" s="2" t="s">
        <v>13</v>
      </c>
      <c r="C3" s="2" t="s">
        <v>14</v>
      </c>
      <c r="D3" s="2">
        <v>40000</v>
      </c>
      <c r="E3" s="2" t="s">
        <v>15</v>
      </c>
      <c r="H3" s="2">
        <v>103</v>
      </c>
      <c r="I3" s="2">
        <f>VLOOKUP(H3,A2:E26,4,FALSE)</f>
        <v>50000</v>
      </c>
      <c r="J3" s="2" t="str">
        <f>_xlfn.SINGLE(_xlfn.XLOOKUP(H3,A2:A26,C2:C26,"NOT FOUND"))</f>
        <v>IT</v>
      </c>
      <c r="K3" s="2" t="str">
        <f>INDEX(E2:E26,MATCH(H3,A2:A26,0))</f>
        <v>Pune</v>
      </c>
      <c r="L3" s="2" t="str">
        <f>INDEX(A2:E17,9,3)</f>
        <v>Finance</v>
      </c>
      <c r="M3" s="2">
        <f>MATCH(L3,C2:C26,0)</f>
        <v>4</v>
      </c>
    </row>
    <row r="4" spans="1:13" x14ac:dyDescent="0.25">
      <c r="A4" s="2">
        <v>103</v>
      </c>
      <c r="B4" s="2" t="s">
        <v>16</v>
      </c>
      <c r="C4" s="2" t="s">
        <v>17</v>
      </c>
      <c r="D4" s="2">
        <v>50000</v>
      </c>
      <c r="E4" s="2" t="s">
        <v>18</v>
      </c>
      <c r="H4" s="2">
        <v>124</v>
      </c>
      <c r="I4" s="2">
        <f>VLOOKUP(H4,A1:E26,4,FALSE)</f>
        <v>43000</v>
      </c>
      <c r="J4" s="2" t="str">
        <f>_xlfn.XLOOKUP(I4,D2:D26,C2:C26,"NOT FOUND")</f>
        <v>HR</v>
      </c>
      <c r="K4" s="2" t="str">
        <f>INDEX(E2:E26,MATCH(H4,A2:A26,0))</f>
        <v>Indore</v>
      </c>
      <c r="L4" s="2">
        <f>INDEX(A1:E27,17,4)</f>
        <v>53000</v>
      </c>
      <c r="M4" s="2">
        <f>MATCH(L4,D2:D26,0)</f>
        <v>16</v>
      </c>
    </row>
    <row r="5" spans="1:13" x14ac:dyDescent="0.25">
      <c r="A5" s="2">
        <v>104</v>
      </c>
      <c r="B5" s="2" t="s">
        <v>19</v>
      </c>
      <c r="C5" s="2" t="s">
        <v>20</v>
      </c>
      <c r="D5" s="2">
        <v>45000</v>
      </c>
      <c r="E5" s="2" t="s">
        <v>21</v>
      </c>
      <c r="H5" s="2">
        <v>117</v>
      </c>
      <c r="I5" s="2" t="str">
        <f>VLOOKUP(H5,A1:D26,2,FALSE)</f>
        <v>Deepak Yadav</v>
      </c>
      <c r="J5" s="2" t="str">
        <f>_xlfn.XLOOKUP(H5,A2:A26,C2:C26,"NOT FOUND")</f>
        <v>Sales</v>
      </c>
      <c r="K5" s="2" t="str">
        <f>INDEX(E2:E26,MATCH(H5,A2:A26,0))</f>
        <v>Jaipur</v>
      </c>
      <c r="L5" s="2" t="str">
        <f>INDEX(A1:E26,17,5)</f>
        <v>Chandigarh</v>
      </c>
      <c r="M5" s="2">
        <f>MATCH(L5,E2:E26,0)</f>
        <v>16</v>
      </c>
    </row>
    <row r="6" spans="1:13" x14ac:dyDescent="0.25">
      <c r="A6" s="2">
        <v>105</v>
      </c>
      <c r="B6" s="2" t="s">
        <v>22</v>
      </c>
      <c r="C6" s="2" t="s">
        <v>23</v>
      </c>
      <c r="D6" s="2">
        <v>38000</v>
      </c>
      <c r="E6" s="2" t="s">
        <v>24</v>
      </c>
      <c r="H6" s="2">
        <v>123</v>
      </c>
      <c r="I6" s="2">
        <f>VLOOKUP(H6,A2:E26,4,FALSE)</f>
        <v>47000</v>
      </c>
      <c r="J6" s="2" t="str">
        <f>_xlfn.XLOOKUP(I6,D2:D26,C2:C26,"NOT FOUND")</f>
        <v>Finance</v>
      </c>
      <c r="K6" s="2" t="str">
        <f>INDEX(E2:E26,MATCH(H6,A2:A26,0))</f>
        <v>Pune</v>
      </c>
      <c r="L6" s="2" t="str">
        <f>INDEX(A1:E26,19,2)</f>
        <v>Nidhi Shah</v>
      </c>
      <c r="M6" s="2">
        <f>MATCH(L6,B2:B26,0)</f>
        <v>18</v>
      </c>
    </row>
    <row r="7" spans="1:13" x14ac:dyDescent="0.25">
      <c r="A7" s="2">
        <v>106</v>
      </c>
      <c r="B7" s="2" t="s">
        <v>25</v>
      </c>
      <c r="C7" s="2" t="s">
        <v>17</v>
      </c>
      <c r="D7" s="2">
        <v>52000</v>
      </c>
      <c r="E7" s="2" t="s">
        <v>26</v>
      </c>
      <c r="H7" s="2">
        <v>111</v>
      </c>
      <c r="I7" s="2">
        <f>VLOOKUP(H7,A1:E26,4,FALSE)</f>
        <v>55000</v>
      </c>
      <c r="J7" s="2" t="str">
        <f>_xlfn.XLOOKUP(I7,D2:D26,C2:C26,"NOT FOUND")</f>
        <v>IT</v>
      </c>
      <c r="K7" s="2" t="str">
        <f>INDEX(E2:E26,MATCH(H7,A2:A26,0))</f>
        <v>Delhi</v>
      </c>
      <c r="L7" s="2">
        <f>INDEX(A1:E26,13,1)</f>
        <v>112</v>
      </c>
      <c r="M7" s="2">
        <f>MATCH(L7,A2:A26,0)</f>
        <v>12</v>
      </c>
    </row>
    <row r="8" spans="1:13" x14ac:dyDescent="0.25">
      <c r="A8" s="2">
        <v>107</v>
      </c>
      <c r="B8" s="2" t="s">
        <v>27</v>
      </c>
      <c r="C8" s="2" t="s">
        <v>6</v>
      </c>
      <c r="D8" s="2">
        <v>36000</v>
      </c>
      <c r="E8" s="2" t="s">
        <v>28</v>
      </c>
      <c r="H8" s="2">
        <v>107</v>
      </c>
      <c r="I8" s="2" t="str">
        <f>VLOOKUP(H8,A1:E26,2,FALSE)</f>
        <v>Vikram Rao</v>
      </c>
      <c r="J8" s="2" t="str">
        <f>_xlfn.XLOOKUP(I8,B2:B26,C2:C26,"NOT FOUND")</f>
        <v>Sales</v>
      </c>
      <c r="K8" s="2" t="str">
        <f>INDEX(E2:E26,MATCH(I8,B2:B26,0))</f>
        <v>Chennai</v>
      </c>
      <c r="L8" s="2"/>
      <c r="M8" s="2"/>
    </row>
    <row r="9" spans="1:13" x14ac:dyDescent="0.25">
      <c r="A9" s="2">
        <v>108</v>
      </c>
      <c r="B9" s="2" t="s">
        <v>29</v>
      </c>
      <c r="C9" s="2" t="s">
        <v>14</v>
      </c>
      <c r="D9" s="2">
        <v>42000</v>
      </c>
      <c r="E9" s="2" t="s">
        <v>30</v>
      </c>
      <c r="H9" s="2">
        <v>104</v>
      </c>
      <c r="I9" s="2">
        <f>VLOOKUP(H9,A1:E26,4,FALSE)</f>
        <v>45000</v>
      </c>
      <c r="J9" s="2" t="str">
        <f>_xlfn.XLOOKUP(I9,D2:D26,C2:C26,"NOT FOUND")</f>
        <v>Finance</v>
      </c>
      <c r="K9" s="2" t="str">
        <f>INDEX(E2:E26,MATCH(H9,A2:A26,0))</f>
        <v>Ahmedabad</v>
      </c>
      <c r="L9" s="2"/>
      <c r="M9" s="2"/>
    </row>
    <row r="10" spans="1:13" x14ac:dyDescent="0.25">
      <c r="A10" s="2">
        <v>109</v>
      </c>
      <c r="B10" s="2" t="s">
        <v>31</v>
      </c>
      <c r="C10" s="2" t="s">
        <v>20</v>
      </c>
      <c r="D10" s="2">
        <v>47000</v>
      </c>
      <c r="E10" s="2" t="s">
        <v>32</v>
      </c>
    </row>
    <row r="11" spans="1:13" x14ac:dyDescent="0.25">
      <c r="A11" s="2">
        <v>110</v>
      </c>
      <c r="B11" s="2" t="s">
        <v>33</v>
      </c>
      <c r="C11" s="2" t="s">
        <v>23</v>
      </c>
      <c r="D11" s="2">
        <v>39000</v>
      </c>
      <c r="E11" s="2" t="s">
        <v>28</v>
      </c>
    </row>
    <row r="12" spans="1:13" x14ac:dyDescent="0.25">
      <c r="A12" s="2">
        <v>111</v>
      </c>
      <c r="B12" s="2" t="s">
        <v>34</v>
      </c>
      <c r="C12" s="2" t="s">
        <v>17</v>
      </c>
      <c r="D12" s="2">
        <v>55000</v>
      </c>
      <c r="E12" s="2" t="s">
        <v>15</v>
      </c>
    </row>
    <row r="13" spans="1:13" x14ac:dyDescent="0.25">
      <c r="A13" s="2">
        <v>112</v>
      </c>
      <c r="B13" s="2" t="s">
        <v>35</v>
      </c>
      <c r="C13" s="2" t="s">
        <v>20</v>
      </c>
      <c r="D13" s="2">
        <v>46000</v>
      </c>
      <c r="E13" s="2" t="s">
        <v>18</v>
      </c>
    </row>
    <row r="14" spans="1:13" x14ac:dyDescent="0.25">
      <c r="A14" s="2">
        <v>113</v>
      </c>
      <c r="B14" s="2" t="s">
        <v>36</v>
      </c>
      <c r="C14" s="2" t="s">
        <v>6</v>
      </c>
      <c r="D14" s="2">
        <v>37000</v>
      </c>
      <c r="E14" s="2" t="s">
        <v>7</v>
      </c>
    </row>
    <row r="15" spans="1:13" x14ac:dyDescent="0.25">
      <c r="A15" s="2">
        <v>114</v>
      </c>
      <c r="B15" s="2" t="s">
        <v>37</v>
      </c>
      <c r="C15" s="2" t="s">
        <v>14</v>
      </c>
      <c r="D15" s="2">
        <v>41000</v>
      </c>
      <c r="E15" s="2" t="s">
        <v>21</v>
      </c>
    </row>
    <row r="16" spans="1:13" x14ac:dyDescent="0.25">
      <c r="A16" s="2">
        <v>115</v>
      </c>
      <c r="B16" s="2" t="s">
        <v>38</v>
      </c>
      <c r="C16" s="2" t="s">
        <v>23</v>
      </c>
      <c r="D16" s="2">
        <v>40000</v>
      </c>
      <c r="E16" s="2" t="s">
        <v>39</v>
      </c>
    </row>
    <row r="17" spans="1:5" x14ac:dyDescent="0.25">
      <c r="A17" s="2">
        <v>116</v>
      </c>
      <c r="B17" s="2" t="s">
        <v>40</v>
      </c>
      <c r="C17" s="2" t="s">
        <v>17</v>
      </c>
      <c r="D17" s="2">
        <v>53000</v>
      </c>
      <c r="E17" s="2" t="s">
        <v>41</v>
      </c>
    </row>
    <row r="18" spans="1:5" x14ac:dyDescent="0.25">
      <c r="A18" s="2">
        <v>117</v>
      </c>
      <c r="B18" s="2" t="s">
        <v>42</v>
      </c>
      <c r="C18" s="2" t="s">
        <v>6</v>
      </c>
      <c r="D18" s="2">
        <v>34000</v>
      </c>
      <c r="E18" s="2" t="s">
        <v>43</v>
      </c>
    </row>
    <row r="19" spans="1:5" x14ac:dyDescent="0.25">
      <c r="A19" s="2">
        <v>118</v>
      </c>
      <c r="B19" s="2" t="s">
        <v>44</v>
      </c>
      <c r="C19" s="2" t="s">
        <v>20</v>
      </c>
      <c r="D19" s="2">
        <v>48000</v>
      </c>
      <c r="E19" s="2" t="s">
        <v>45</v>
      </c>
    </row>
    <row r="20" spans="1:5" x14ac:dyDescent="0.25">
      <c r="A20" s="2">
        <v>119</v>
      </c>
      <c r="B20" s="2" t="s">
        <v>46</v>
      </c>
      <c r="C20" s="2" t="s">
        <v>14</v>
      </c>
      <c r="D20" s="2">
        <v>39000</v>
      </c>
      <c r="E20" s="2" t="s">
        <v>47</v>
      </c>
    </row>
    <row r="21" spans="1:5" x14ac:dyDescent="0.25">
      <c r="A21" s="2">
        <v>120</v>
      </c>
      <c r="B21" s="2" t="s">
        <v>48</v>
      </c>
      <c r="C21" s="2" t="s">
        <v>23</v>
      </c>
      <c r="D21" s="2">
        <v>42000</v>
      </c>
      <c r="E21" s="2" t="s">
        <v>32</v>
      </c>
    </row>
    <row r="22" spans="1:5" x14ac:dyDescent="0.25">
      <c r="A22" s="2">
        <v>121</v>
      </c>
      <c r="B22" s="2" t="s">
        <v>49</v>
      </c>
      <c r="C22" s="2" t="s">
        <v>17</v>
      </c>
      <c r="D22" s="2">
        <v>51000</v>
      </c>
      <c r="E22" s="2" t="s">
        <v>30</v>
      </c>
    </row>
    <row r="23" spans="1:5" x14ac:dyDescent="0.25">
      <c r="A23" s="2">
        <v>122</v>
      </c>
      <c r="B23" s="2" t="s">
        <v>50</v>
      </c>
      <c r="C23" s="2" t="s">
        <v>6</v>
      </c>
      <c r="D23" s="2">
        <v>36000</v>
      </c>
      <c r="E23" s="2" t="s">
        <v>51</v>
      </c>
    </row>
    <row r="24" spans="1:5" x14ac:dyDescent="0.25">
      <c r="A24" s="2">
        <v>123</v>
      </c>
      <c r="B24" s="2" t="s">
        <v>52</v>
      </c>
      <c r="C24" s="2" t="s">
        <v>20</v>
      </c>
      <c r="D24" s="2">
        <v>47000</v>
      </c>
      <c r="E24" s="2" t="s">
        <v>18</v>
      </c>
    </row>
    <row r="25" spans="1:5" x14ac:dyDescent="0.25">
      <c r="A25" s="2">
        <v>124</v>
      </c>
      <c r="B25" s="2" t="s">
        <v>53</v>
      </c>
      <c r="C25" s="2" t="s">
        <v>14</v>
      </c>
      <c r="D25" s="2">
        <v>43000</v>
      </c>
      <c r="E25" s="2" t="s">
        <v>54</v>
      </c>
    </row>
    <row r="26" spans="1:5" x14ac:dyDescent="0.25">
      <c r="A26" s="2">
        <v>125</v>
      </c>
      <c r="B26" s="2" t="s">
        <v>55</v>
      </c>
      <c r="C26" s="2" t="s">
        <v>23</v>
      </c>
      <c r="D26" s="2">
        <v>41000</v>
      </c>
      <c r="E26" s="2" t="s">
        <v>32</v>
      </c>
    </row>
    <row r="27" spans="1:5" x14ac:dyDescent="0.25">
      <c r="A27" t="s">
        <v>56</v>
      </c>
      <c r="B27" t="s">
        <v>56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Administrator</cp:lastModifiedBy>
  <cp:revision/>
  <dcterms:created xsi:type="dcterms:W3CDTF">2026-04-09T13:33:57Z</dcterms:created>
  <dcterms:modified xsi:type="dcterms:W3CDTF">2026-04-09T14:13:51Z</dcterms:modified>
  <cp:category/>
  <cp:contentStatus/>
</cp:coreProperties>
</file>