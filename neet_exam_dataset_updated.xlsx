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ki DA\M.D ZAKI\"/>
    </mc:Choice>
  </mc:AlternateContent>
  <xr:revisionPtr revIDLastSave="0" documentId="13_ncr:1_{8529BBCB-4BED-4A11-AF4D-09CB80F14FB4}" xr6:coauthVersionLast="36" xr6:coauthVersionMax="36" xr10:uidLastSave="{00000000-0000-0000-0000-000000000000}"/>
  <bookViews>
    <workbookView xWindow="0" yWindow="0" windowWidth="20490" windowHeight="7005" tabRatio="815" activeTab="4" xr2:uid="{00000000-000D-0000-FFFF-FFFF00000000}"/>
  </bookViews>
  <sheets>
    <sheet name="neet_exam_dataset_updated" sheetId="1" r:id="rId1"/>
    <sheet name="Descriptive Analysis" sheetId="2" r:id="rId2"/>
    <sheet name="Pivot Table" sheetId="4" r:id="rId3"/>
    <sheet name="Analysis" sheetId="3" r:id="rId4"/>
    <sheet name="Dash-Board " sheetId="6" r:id="rId5"/>
    <sheet name="Rough Work" sheetId="5" r:id="rId6"/>
  </sheets>
  <calcPr calcId="191029"/>
  <pivotCaches>
    <pivotCache cacheId="27" r:id="rId7"/>
  </pivotCaches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7" i="3"/>
</calcChain>
</file>

<file path=xl/sharedStrings.xml><?xml version="1.0" encoding="utf-8"?>
<sst xmlns="http://schemas.openxmlformats.org/spreadsheetml/2006/main" count="5296" uniqueCount="1084">
  <si>
    <t>Seat_No</t>
  </si>
  <si>
    <t>Gender</t>
  </si>
  <si>
    <t>Date_of_Birth</t>
  </si>
  <si>
    <t>Attempt_No</t>
  </si>
  <si>
    <t>City</t>
  </si>
  <si>
    <t>State</t>
  </si>
  <si>
    <t>Category</t>
  </si>
  <si>
    <t>Physics_Marks_180</t>
  </si>
  <si>
    <t>Chemistry_Marks_180</t>
  </si>
  <si>
    <t>Biology_Marks_360</t>
  </si>
  <si>
    <t>Total_Marks_720</t>
  </si>
  <si>
    <t>Exam_Year</t>
  </si>
  <si>
    <t>NEET2024100001</t>
  </si>
  <si>
    <t>Male</t>
  </si>
  <si>
    <t>Pune</t>
  </si>
  <si>
    <t>Maharashtra</t>
  </si>
  <si>
    <t>EWS</t>
  </si>
  <si>
    <t>NEET2024100002</t>
  </si>
  <si>
    <t>Thane</t>
  </si>
  <si>
    <t>NEET2026100003</t>
  </si>
  <si>
    <t>Female</t>
  </si>
  <si>
    <t>Delhi</t>
  </si>
  <si>
    <t>OBC</t>
  </si>
  <si>
    <t>NEET2023100004</t>
  </si>
  <si>
    <t>Aurangabad</t>
  </si>
  <si>
    <t>General</t>
  </si>
  <si>
    <t>NEET2023100005</t>
  </si>
  <si>
    <t>Ratnagiri</t>
  </si>
  <si>
    <t>NEET2023100006</t>
  </si>
  <si>
    <t>SC</t>
  </si>
  <si>
    <t>NEET2026100007</t>
  </si>
  <si>
    <t>Chennai</t>
  </si>
  <si>
    <t>Tamil Nadu</t>
  </si>
  <si>
    <t>NEET2024100008</t>
  </si>
  <si>
    <t>ST</t>
  </si>
  <si>
    <t>NEET2023100009</t>
  </si>
  <si>
    <t>Bengaluru</t>
  </si>
  <si>
    <t>Karnataka</t>
  </si>
  <si>
    <t>NEET2024100010</t>
  </si>
  <si>
    <t>NEET2025100011</t>
  </si>
  <si>
    <t>Nagpur</t>
  </si>
  <si>
    <t>NEET2023100012</t>
  </si>
  <si>
    <t>Sangli</t>
  </si>
  <si>
    <t>NEET2023100013</t>
  </si>
  <si>
    <t>NEET2025100014</t>
  </si>
  <si>
    <t>NEET2023100015</t>
  </si>
  <si>
    <t>Kolhapur</t>
  </si>
  <si>
    <t>NEET2024100016</t>
  </si>
  <si>
    <t>Kolkata</t>
  </si>
  <si>
    <t>West Bengal</t>
  </si>
  <si>
    <t>NEET2024100017</t>
  </si>
  <si>
    <t>NEET2026100018</t>
  </si>
  <si>
    <t>NEET2024100019</t>
  </si>
  <si>
    <t>Mumbai</t>
  </si>
  <si>
    <t>NEET2024100020</t>
  </si>
  <si>
    <t>NEET2024100021</t>
  </si>
  <si>
    <t>NEET2026100022</t>
  </si>
  <si>
    <t>NEET2024100023</t>
  </si>
  <si>
    <t>NEET2026100024</t>
  </si>
  <si>
    <t>NEET2026100025</t>
  </si>
  <si>
    <t>NEET2026100026</t>
  </si>
  <si>
    <t>NEET2023100027</t>
  </si>
  <si>
    <t>Nashik</t>
  </si>
  <si>
    <t>NEET2023100028</t>
  </si>
  <si>
    <t>NEET2024100029</t>
  </si>
  <si>
    <t>NEET2026100030</t>
  </si>
  <si>
    <t>NEET2023100031</t>
  </si>
  <si>
    <t>NEET2025100032</t>
  </si>
  <si>
    <t>NEET2025100033</t>
  </si>
  <si>
    <t>Hyderabad</t>
  </si>
  <si>
    <t>Telangana</t>
  </si>
  <si>
    <t>NEET2025100034</t>
  </si>
  <si>
    <t>NEET2026100035</t>
  </si>
  <si>
    <t>Solapur</t>
  </si>
  <si>
    <t>NEET2026100036</t>
  </si>
  <si>
    <t>NEET2024100037</t>
  </si>
  <si>
    <t>NEET2024100038</t>
  </si>
  <si>
    <t>NEET2024100039</t>
  </si>
  <si>
    <t>NEET2024100040</t>
  </si>
  <si>
    <t>NEET2024100041</t>
  </si>
  <si>
    <t>NEET2026100042</t>
  </si>
  <si>
    <t>NEET2026100043</t>
  </si>
  <si>
    <t>NEET2023100044</t>
  </si>
  <si>
    <t>NEET2023100045</t>
  </si>
  <si>
    <t>NEET2024100046</t>
  </si>
  <si>
    <t>NEET2024100047</t>
  </si>
  <si>
    <t>NEET2024100048</t>
  </si>
  <si>
    <t>NEET2024100049</t>
  </si>
  <si>
    <t>NEET2024100050</t>
  </si>
  <si>
    <t>NEET2024100051</t>
  </si>
  <si>
    <t>NEET2025100052</t>
  </si>
  <si>
    <t>NEET2024100053</t>
  </si>
  <si>
    <t>NEET2025100054</t>
  </si>
  <si>
    <t>NEET2026100055</t>
  </si>
  <si>
    <t>NEET2023100056</t>
  </si>
  <si>
    <t>NEET2024100057</t>
  </si>
  <si>
    <t>NEET2024100058</t>
  </si>
  <si>
    <t>NEET2026100059</t>
  </si>
  <si>
    <t>NEET2025100060</t>
  </si>
  <si>
    <t>NEET2023100061</t>
  </si>
  <si>
    <t>NEET2024100062</t>
  </si>
  <si>
    <t>NEET2024100063</t>
  </si>
  <si>
    <t>NEET2026100064</t>
  </si>
  <si>
    <t>NEET2023100065</t>
  </si>
  <si>
    <t>NEET2026100066</t>
  </si>
  <si>
    <t>NEET2025100067</t>
  </si>
  <si>
    <t>NEET2026100068</t>
  </si>
  <si>
    <t>NEET2026100069</t>
  </si>
  <si>
    <t>NEET2024100070</t>
  </si>
  <si>
    <t>NEET2026100071</t>
  </si>
  <si>
    <t>NEET2025100072</t>
  </si>
  <si>
    <t>NEET2025100073</t>
  </si>
  <si>
    <t>NEET2024100074</t>
  </si>
  <si>
    <t>NEET2025100075</t>
  </si>
  <si>
    <t>NEET2024100076</t>
  </si>
  <si>
    <t>NEET2023100077</t>
  </si>
  <si>
    <t>NEET2024100078</t>
  </si>
  <si>
    <t>NEET2026100079</t>
  </si>
  <si>
    <t>NEET2024100080</t>
  </si>
  <si>
    <t>NEET2026100081</t>
  </si>
  <si>
    <t>NEET2024100082</t>
  </si>
  <si>
    <t>NEET2023100083</t>
  </si>
  <si>
    <t>NEET2025100084</t>
  </si>
  <si>
    <t>NEET2023100085</t>
  </si>
  <si>
    <t>NEET2026100086</t>
  </si>
  <si>
    <t>NEET2025100087</t>
  </si>
  <si>
    <t>NEET2026100088</t>
  </si>
  <si>
    <t>NEET2023100089</t>
  </si>
  <si>
    <t>NEET2024100090</t>
  </si>
  <si>
    <t>NEET2024100091</t>
  </si>
  <si>
    <t>NEET2024100092</t>
  </si>
  <si>
    <t>NEET2026100093</t>
  </si>
  <si>
    <t>NEET2025100094</t>
  </si>
  <si>
    <t>NEET2025100095</t>
  </si>
  <si>
    <t>NEET2026100096</t>
  </si>
  <si>
    <t>NEET2024100097</t>
  </si>
  <si>
    <t>NEET2026100098</t>
  </si>
  <si>
    <t>NEET2026100099</t>
  </si>
  <si>
    <t>NEET2023100100</t>
  </si>
  <si>
    <t>NEET2025100101</t>
  </si>
  <si>
    <t>NEET2024100102</t>
  </si>
  <si>
    <t>NEET2024100103</t>
  </si>
  <si>
    <t>NEET2024100104</t>
  </si>
  <si>
    <t>NEET2024100105</t>
  </si>
  <si>
    <t>NEET2025100106</t>
  </si>
  <si>
    <t>NEET2024100107</t>
  </si>
  <si>
    <t>NEET2025100108</t>
  </si>
  <si>
    <t>NEET2026100109</t>
  </si>
  <si>
    <t>NEET2026100110</t>
  </si>
  <si>
    <t>NEET2025100111</t>
  </si>
  <si>
    <t>NEET2026100112</t>
  </si>
  <si>
    <t>NEET2023100113</t>
  </si>
  <si>
    <t>NEET2023100114</t>
  </si>
  <si>
    <t>NEET2024100115</t>
  </si>
  <si>
    <t>NEET2026100116</t>
  </si>
  <si>
    <t>NEET2025100117</t>
  </si>
  <si>
    <t>NEET2024100118</t>
  </si>
  <si>
    <t>NEET2023100119</t>
  </si>
  <si>
    <t>NEET2023100120</t>
  </si>
  <si>
    <t>NEET2026100121</t>
  </si>
  <si>
    <t>NEET2024100122</t>
  </si>
  <si>
    <t>NEET2026100123</t>
  </si>
  <si>
    <t>NEET2025100124</t>
  </si>
  <si>
    <t>NEET2026100125</t>
  </si>
  <si>
    <t>NEET2026100126</t>
  </si>
  <si>
    <t>NEET2023100127</t>
  </si>
  <si>
    <t>NEET2025100128</t>
  </si>
  <si>
    <t>NEET2023100129</t>
  </si>
  <si>
    <t>NEET2025100130</t>
  </si>
  <si>
    <t>NEET2025100131</t>
  </si>
  <si>
    <t>NEET2023100132</t>
  </si>
  <si>
    <t>NEET2025100133</t>
  </si>
  <si>
    <t>NEET2025100134</t>
  </si>
  <si>
    <t>NEET2025100135</t>
  </si>
  <si>
    <t>NEET2026100136</t>
  </si>
  <si>
    <t>NEET2025100137</t>
  </si>
  <si>
    <t>NEET2025100138</t>
  </si>
  <si>
    <t>NEET2026100139</t>
  </si>
  <si>
    <t>NEET2025100140</t>
  </si>
  <si>
    <t>NEET2026100141</t>
  </si>
  <si>
    <t>NEET2024100142</t>
  </si>
  <si>
    <t>NEET2024100143</t>
  </si>
  <si>
    <t>NEET2025100144</t>
  </si>
  <si>
    <t>NEET2025100145</t>
  </si>
  <si>
    <t>NEET2023100146</t>
  </si>
  <si>
    <t>NEET2026100147</t>
  </si>
  <si>
    <t>NEET2023100148</t>
  </si>
  <si>
    <t>NEET2025100149</t>
  </si>
  <si>
    <t>NEET2024100150</t>
  </si>
  <si>
    <t>NEET2025100151</t>
  </si>
  <si>
    <t>NEET2023100152</t>
  </si>
  <si>
    <t>NEET2024100153</t>
  </si>
  <si>
    <t>NEET2025100154</t>
  </si>
  <si>
    <t>NEET2026100155</t>
  </si>
  <si>
    <t>NEET2024100156</t>
  </si>
  <si>
    <t>NEET2026100157</t>
  </si>
  <si>
    <t>NEET2023100158</t>
  </si>
  <si>
    <t>NEET2023100159</t>
  </si>
  <si>
    <t>NEET2024100160</t>
  </si>
  <si>
    <t>NEET2024100161</t>
  </si>
  <si>
    <t>NEET2023100162</t>
  </si>
  <si>
    <t>NEET2025100163</t>
  </si>
  <si>
    <t>NEET2026100164</t>
  </si>
  <si>
    <t>NEET2026100165</t>
  </si>
  <si>
    <t>NEET2023100166</t>
  </si>
  <si>
    <t>NEET2025100167</t>
  </si>
  <si>
    <t>NEET2024100168</t>
  </si>
  <si>
    <t>NEET2024100169</t>
  </si>
  <si>
    <t>NEET2025100170</t>
  </si>
  <si>
    <t>NEET2025100171</t>
  </si>
  <si>
    <t>NEET2025100172</t>
  </si>
  <si>
    <t>NEET2025100173</t>
  </si>
  <si>
    <t>NEET2025100174</t>
  </si>
  <si>
    <t>NEET2025100175</t>
  </si>
  <si>
    <t>NEET2025100176</t>
  </si>
  <si>
    <t>NEET2023100177</t>
  </si>
  <si>
    <t>NEET2024100178</t>
  </si>
  <si>
    <t>NEET2025100179</t>
  </si>
  <si>
    <t>NEET2025100180</t>
  </si>
  <si>
    <t>NEET2024100181</t>
  </si>
  <si>
    <t>NEET2025100182</t>
  </si>
  <si>
    <t>NEET2026100183</t>
  </si>
  <si>
    <t>NEET2025100184</t>
  </si>
  <si>
    <t>NEET2024100185</t>
  </si>
  <si>
    <t>NEET2023100186</t>
  </si>
  <si>
    <t>NEET2024100187</t>
  </si>
  <si>
    <t>NEET2025100188</t>
  </si>
  <si>
    <t>NEET2026100189</t>
  </si>
  <si>
    <t>NEET2026100190</t>
  </si>
  <si>
    <t>NEET2026100191</t>
  </si>
  <si>
    <t>NEET2026100192</t>
  </si>
  <si>
    <t>NEET2025100193</t>
  </si>
  <si>
    <t>NEET2023100194</t>
  </si>
  <si>
    <t>NEET2023100195</t>
  </si>
  <si>
    <t>NEET2024100196</t>
  </si>
  <si>
    <t>NEET2024100197</t>
  </si>
  <si>
    <t>NEET2024100198</t>
  </si>
  <si>
    <t>NEET2026100199</t>
  </si>
  <si>
    <t>NEET2024100200</t>
  </si>
  <si>
    <t>NEET2026100201</t>
  </si>
  <si>
    <t>NEET2025100202</t>
  </si>
  <si>
    <t>NEET2026100203</t>
  </si>
  <si>
    <t>NEET2024100204</t>
  </si>
  <si>
    <t>NEET2024100205</t>
  </si>
  <si>
    <t>NEET2025100206</t>
  </si>
  <si>
    <t>NEET2025100207</t>
  </si>
  <si>
    <t>NEET2026100208</t>
  </si>
  <si>
    <t>NEET2025100209</t>
  </si>
  <si>
    <t>NEET2024100210</t>
  </si>
  <si>
    <t>NEET2025100211</t>
  </si>
  <si>
    <t>NEET2026100212</t>
  </si>
  <si>
    <t>NEET2023100213</t>
  </si>
  <si>
    <t>NEET2023100214</t>
  </si>
  <si>
    <t>NEET2026100215</t>
  </si>
  <si>
    <t>NEET2024100216</t>
  </si>
  <si>
    <t>NEET2025100217</t>
  </si>
  <si>
    <t>NEET2025100218</t>
  </si>
  <si>
    <t>NEET2025100219</t>
  </si>
  <si>
    <t>NEET2025100220</t>
  </si>
  <si>
    <t>NEET2025100221</t>
  </si>
  <si>
    <t>NEET2025100222</t>
  </si>
  <si>
    <t>NEET2026100223</t>
  </si>
  <si>
    <t>NEET2026100224</t>
  </si>
  <si>
    <t>NEET2025100225</t>
  </si>
  <si>
    <t>NEET2023100226</t>
  </si>
  <si>
    <t>NEET2026100227</t>
  </si>
  <si>
    <t>NEET2023100228</t>
  </si>
  <si>
    <t>NEET2026100229</t>
  </si>
  <si>
    <t>NEET2023100230</t>
  </si>
  <si>
    <t>NEET2026100231</t>
  </si>
  <si>
    <t>NEET2024100232</t>
  </si>
  <si>
    <t>NEET2024100233</t>
  </si>
  <si>
    <t>NEET2026100234</t>
  </si>
  <si>
    <t>NEET2026100235</t>
  </si>
  <si>
    <t>NEET2026100236</t>
  </si>
  <si>
    <t>NEET2025100237</t>
  </si>
  <si>
    <t>NEET2024100238</t>
  </si>
  <si>
    <t>NEET2024100239</t>
  </si>
  <si>
    <t>NEET2025100240</t>
  </si>
  <si>
    <t>NEET2025100241</t>
  </si>
  <si>
    <t>NEET2026100242</t>
  </si>
  <si>
    <t>NEET2025100243</t>
  </si>
  <si>
    <t>NEET2026100244</t>
  </si>
  <si>
    <t>NEET2024100245</t>
  </si>
  <si>
    <t>NEET2026100246</t>
  </si>
  <si>
    <t>NEET2025100247</t>
  </si>
  <si>
    <t>NEET2025100248</t>
  </si>
  <si>
    <t>NEET2024100249</t>
  </si>
  <si>
    <t>NEET2023100250</t>
  </si>
  <si>
    <t>NEET2023100251</t>
  </si>
  <si>
    <t>NEET2023100252</t>
  </si>
  <si>
    <t>NEET2024100253</t>
  </si>
  <si>
    <t>NEET2025100254</t>
  </si>
  <si>
    <t>NEET2025100255</t>
  </si>
  <si>
    <t>NEET2026100256</t>
  </si>
  <si>
    <t>NEET2026100257</t>
  </si>
  <si>
    <t>NEET2023100258</t>
  </si>
  <si>
    <t>NEET2023100259</t>
  </si>
  <si>
    <t>NEET2025100260</t>
  </si>
  <si>
    <t>NEET2024100261</t>
  </si>
  <si>
    <t>NEET2026100262</t>
  </si>
  <si>
    <t>NEET2023100263</t>
  </si>
  <si>
    <t>NEET2025100264</t>
  </si>
  <si>
    <t>NEET2024100265</t>
  </si>
  <si>
    <t>NEET2025100266</t>
  </si>
  <si>
    <t>NEET2026100267</t>
  </si>
  <si>
    <t>NEET2025100268</t>
  </si>
  <si>
    <t>NEET2026100269</t>
  </si>
  <si>
    <t>NEET2023100270</t>
  </si>
  <si>
    <t>NEET2024100271</t>
  </si>
  <si>
    <t>NEET2025100272</t>
  </si>
  <si>
    <t>NEET2025100273</t>
  </si>
  <si>
    <t>NEET2026100274</t>
  </si>
  <si>
    <t>NEET2023100275</t>
  </si>
  <si>
    <t>NEET2026100276</t>
  </si>
  <si>
    <t>NEET2024100277</t>
  </si>
  <si>
    <t>NEET2023100278</t>
  </si>
  <si>
    <t>NEET2025100279</t>
  </si>
  <si>
    <t>NEET2023100280</t>
  </si>
  <si>
    <t>NEET2026100281</t>
  </si>
  <si>
    <t>NEET2024100282</t>
  </si>
  <si>
    <t>NEET2023100283</t>
  </si>
  <si>
    <t>NEET2026100284</t>
  </si>
  <si>
    <t>NEET2025100285</t>
  </si>
  <si>
    <t>NEET2023100286</t>
  </si>
  <si>
    <t>NEET2024100287</t>
  </si>
  <si>
    <t>NEET2026100288</t>
  </si>
  <si>
    <t>NEET2024100289</t>
  </si>
  <si>
    <t>NEET2025100290</t>
  </si>
  <si>
    <t>NEET2024100291</t>
  </si>
  <si>
    <t>NEET2025100292</t>
  </si>
  <si>
    <t>NEET2025100293</t>
  </si>
  <si>
    <t>NEET2023100294</t>
  </si>
  <si>
    <t>NEET2024100295</t>
  </si>
  <si>
    <t>NEET2024100296</t>
  </si>
  <si>
    <t>NEET2025100297</t>
  </si>
  <si>
    <t>NEET2025100298</t>
  </si>
  <si>
    <t>NEET2024100299</t>
  </si>
  <si>
    <t>NEET2023100300</t>
  </si>
  <si>
    <t>NEET2026100301</t>
  </si>
  <si>
    <t>NEET2024100302</t>
  </si>
  <si>
    <t>NEET2026100303</t>
  </si>
  <si>
    <t>NEET2025100304</t>
  </si>
  <si>
    <t>NEET2026100305</t>
  </si>
  <si>
    <t>NEET2025100306</t>
  </si>
  <si>
    <t>NEET2023100307</t>
  </si>
  <si>
    <t>NEET2025100308</t>
  </si>
  <si>
    <t>NEET2023100309</t>
  </si>
  <si>
    <t>NEET2023100310</t>
  </si>
  <si>
    <t>NEET2023100311</t>
  </si>
  <si>
    <t>NEET2025100312</t>
  </si>
  <si>
    <t>NEET2025100313</t>
  </si>
  <si>
    <t>NEET2026100314</t>
  </si>
  <si>
    <t>NEET2023100315</t>
  </si>
  <si>
    <t>NEET2024100316</t>
  </si>
  <si>
    <t>NEET2025100317</t>
  </si>
  <si>
    <t>NEET2023100318</t>
  </si>
  <si>
    <t>NEET2024100319</t>
  </si>
  <si>
    <t>NEET2024100320</t>
  </si>
  <si>
    <t>NEET2023100321</t>
  </si>
  <si>
    <t>NEET2024100322</t>
  </si>
  <si>
    <t>NEET2023100323</t>
  </si>
  <si>
    <t>NEET2025100324</t>
  </si>
  <si>
    <t>NEET2024100325</t>
  </si>
  <si>
    <t>NEET2025100326</t>
  </si>
  <si>
    <t>NEET2025100327</t>
  </si>
  <si>
    <t>NEET2023100328</t>
  </si>
  <si>
    <t>NEET2024100329</t>
  </si>
  <si>
    <t>NEET2024100330</t>
  </si>
  <si>
    <t>NEET2024100331</t>
  </si>
  <si>
    <t>NEET2026100332</t>
  </si>
  <si>
    <t>NEET2025100333</t>
  </si>
  <si>
    <t>NEET2026100334</t>
  </si>
  <si>
    <t>NEET2023100335</t>
  </si>
  <si>
    <t>NEET2026100336</t>
  </si>
  <si>
    <t>NEET2026100337</t>
  </si>
  <si>
    <t>NEET2023100338</t>
  </si>
  <si>
    <t>NEET2025100339</t>
  </si>
  <si>
    <t>NEET2024100340</t>
  </si>
  <si>
    <t>NEET2024100341</t>
  </si>
  <si>
    <t>NEET2025100342</t>
  </si>
  <si>
    <t>NEET2026100343</t>
  </si>
  <si>
    <t>NEET2025100344</t>
  </si>
  <si>
    <t>NEET2024100345</t>
  </si>
  <si>
    <t>NEET2025100346</t>
  </si>
  <si>
    <t>NEET2023100347</t>
  </si>
  <si>
    <t>NEET2026100348</t>
  </si>
  <si>
    <t>NEET2024100349</t>
  </si>
  <si>
    <t>NEET2025100350</t>
  </si>
  <si>
    <t>NEET2023100351</t>
  </si>
  <si>
    <t>NEET2024100352</t>
  </si>
  <si>
    <t>NEET2026100353</t>
  </si>
  <si>
    <t>NEET2023100354</t>
  </si>
  <si>
    <t>NEET2026100355</t>
  </si>
  <si>
    <t>NEET2026100356</t>
  </si>
  <si>
    <t>NEET2024100357</t>
  </si>
  <si>
    <t>NEET2026100358</t>
  </si>
  <si>
    <t>NEET2024100359</t>
  </si>
  <si>
    <t>NEET2026100360</t>
  </si>
  <si>
    <t>NEET2026100361</t>
  </si>
  <si>
    <t>NEET2023100362</t>
  </si>
  <si>
    <t>NEET2025100363</t>
  </si>
  <si>
    <t>NEET2025100364</t>
  </si>
  <si>
    <t>NEET2026100365</t>
  </si>
  <si>
    <t>NEET2023100366</t>
  </si>
  <si>
    <t>NEET2023100367</t>
  </si>
  <si>
    <t>NEET2024100368</t>
  </si>
  <si>
    <t>NEET2024100369</t>
  </si>
  <si>
    <t>NEET2025100370</t>
  </si>
  <si>
    <t>NEET2025100371</t>
  </si>
  <si>
    <t>NEET2025100372</t>
  </si>
  <si>
    <t>NEET2024100373</t>
  </si>
  <si>
    <t>NEET2024100374</t>
  </si>
  <si>
    <t>NEET2025100375</t>
  </si>
  <si>
    <t>NEET2023100376</t>
  </si>
  <si>
    <t>NEET2025100377</t>
  </si>
  <si>
    <t>NEET2024100378</t>
  </si>
  <si>
    <t>NEET2026100379</t>
  </si>
  <si>
    <t>NEET2025100380</t>
  </si>
  <si>
    <t>NEET2024100381</t>
  </si>
  <si>
    <t>NEET2025100382</t>
  </si>
  <si>
    <t>NEET2026100383</t>
  </si>
  <si>
    <t>NEET2025100384</t>
  </si>
  <si>
    <t>NEET2024100385</t>
  </si>
  <si>
    <t>NEET2026100386</t>
  </si>
  <si>
    <t>NEET2026100387</t>
  </si>
  <si>
    <t>NEET2024100388</t>
  </si>
  <si>
    <t>NEET2023100389</t>
  </si>
  <si>
    <t>NEET2025100390</t>
  </si>
  <si>
    <t>NEET2023100391</t>
  </si>
  <si>
    <t>NEET2023100392</t>
  </si>
  <si>
    <t>NEET2023100393</t>
  </si>
  <si>
    <t>NEET2024100394</t>
  </si>
  <si>
    <t>NEET2026100395</t>
  </si>
  <si>
    <t>NEET2025100396</t>
  </si>
  <si>
    <t>NEET2026100397</t>
  </si>
  <si>
    <t>NEET2024100398</t>
  </si>
  <si>
    <t>NEET2026100399</t>
  </si>
  <si>
    <t>NEET2023100400</t>
  </si>
  <si>
    <t>NEET2025100401</t>
  </si>
  <si>
    <t>NEET2026100402</t>
  </si>
  <si>
    <t>NEET2026100403</t>
  </si>
  <si>
    <t>NEET2023100404</t>
  </si>
  <si>
    <t>NEET2024100405</t>
  </si>
  <si>
    <t>NEET2023100406</t>
  </si>
  <si>
    <t>NEET2025100407</t>
  </si>
  <si>
    <t>NEET2024100408</t>
  </si>
  <si>
    <t>NEET2023100409</t>
  </si>
  <si>
    <t>NEET2023100410</t>
  </si>
  <si>
    <t>NEET2025100411</t>
  </si>
  <si>
    <t>NEET2025100412</t>
  </si>
  <si>
    <t>NEET2025100413</t>
  </si>
  <si>
    <t>NEET2026100414</t>
  </si>
  <si>
    <t>NEET2023100415</t>
  </si>
  <si>
    <t>NEET2024100416</t>
  </si>
  <si>
    <t>NEET2025100417</t>
  </si>
  <si>
    <t>NEET2025100418</t>
  </si>
  <si>
    <t>NEET2025100419</t>
  </si>
  <si>
    <t>NEET2026100420</t>
  </si>
  <si>
    <t>NEET2024100421</t>
  </si>
  <si>
    <t>NEET2023100422</t>
  </si>
  <si>
    <t>NEET2025100423</t>
  </si>
  <si>
    <t>NEET2023100424</t>
  </si>
  <si>
    <t>NEET2024100425</t>
  </si>
  <si>
    <t>NEET2023100426</t>
  </si>
  <si>
    <t>NEET2025100427</t>
  </si>
  <si>
    <t>NEET2026100428</t>
  </si>
  <si>
    <t>NEET2026100429</t>
  </si>
  <si>
    <t>NEET2025100430</t>
  </si>
  <si>
    <t>NEET2024100431</t>
  </si>
  <si>
    <t>NEET2025100432</t>
  </si>
  <si>
    <t>NEET2023100433</t>
  </si>
  <si>
    <t>NEET2024100434</t>
  </si>
  <si>
    <t>NEET2023100435</t>
  </si>
  <si>
    <t>NEET2026100436</t>
  </si>
  <si>
    <t>NEET2023100437</t>
  </si>
  <si>
    <t>NEET2026100438</t>
  </si>
  <si>
    <t>NEET2025100439</t>
  </si>
  <si>
    <t>NEET2023100440</t>
  </si>
  <si>
    <t>NEET2024100441</t>
  </si>
  <si>
    <t>NEET2026100442</t>
  </si>
  <si>
    <t>NEET2025100443</t>
  </si>
  <si>
    <t>NEET2026100444</t>
  </si>
  <si>
    <t>NEET2024100445</t>
  </si>
  <si>
    <t>NEET2024100446</t>
  </si>
  <si>
    <t>NEET2023100447</t>
  </si>
  <si>
    <t>NEET2023100448</t>
  </si>
  <si>
    <t>NEET2026100449</t>
  </si>
  <si>
    <t>NEET2023100450</t>
  </si>
  <si>
    <t>NEET2026100451</t>
  </si>
  <si>
    <t>NEET2024100452</t>
  </si>
  <si>
    <t>NEET2025100453</t>
  </si>
  <si>
    <t>NEET2025100454</t>
  </si>
  <si>
    <t>NEET2026100455</t>
  </si>
  <si>
    <t>NEET2024100456</t>
  </si>
  <si>
    <t>NEET2024100457</t>
  </si>
  <si>
    <t>NEET2026100458</t>
  </si>
  <si>
    <t>NEET2023100459</t>
  </si>
  <si>
    <t>NEET2024100460</t>
  </si>
  <si>
    <t>NEET2024100461</t>
  </si>
  <si>
    <t>NEET2025100462</t>
  </si>
  <si>
    <t>NEET2026100463</t>
  </si>
  <si>
    <t>NEET2023100464</t>
  </si>
  <si>
    <t>NEET2025100465</t>
  </si>
  <si>
    <t>NEET2023100466</t>
  </si>
  <si>
    <t>NEET2026100467</t>
  </si>
  <si>
    <t>NEET2026100468</t>
  </si>
  <si>
    <t>NEET2025100469</t>
  </si>
  <si>
    <t>NEET2026100470</t>
  </si>
  <si>
    <t>NEET2024100471</t>
  </si>
  <si>
    <t>NEET2023100472</t>
  </si>
  <si>
    <t>NEET2025100473</t>
  </si>
  <si>
    <t>NEET2023100474</t>
  </si>
  <si>
    <t>NEET2023100475</t>
  </si>
  <si>
    <t>NEET2025100476</t>
  </si>
  <si>
    <t>NEET2023100477</t>
  </si>
  <si>
    <t>NEET2023100478</t>
  </si>
  <si>
    <t>NEET2023100479</t>
  </si>
  <si>
    <t>NEET2026100480</t>
  </si>
  <si>
    <t>NEET2026100481</t>
  </si>
  <si>
    <t>NEET2024100482</t>
  </si>
  <si>
    <t>NEET2024100483</t>
  </si>
  <si>
    <t>NEET2023100484</t>
  </si>
  <si>
    <t>NEET2025100485</t>
  </si>
  <si>
    <t>NEET2024100486</t>
  </si>
  <si>
    <t>NEET2026100487</t>
  </si>
  <si>
    <t>NEET2026100488</t>
  </si>
  <si>
    <t>NEET2026100489</t>
  </si>
  <si>
    <t>NEET2026100490</t>
  </si>
  <si>
    <t>NEET2024100491</t>
  </si>
  <si>
    <t>NEET2024100492</t>
  </si>
  <si>
    <t>NEET2023100493</t>
  </si>
  <si>
    <t>NEET2026100494</t>
  </si>
  <si>
    <t>NEET2026100495</t>
  </si>
  <si>
    <t>NEET2025100496</t>
  </si>
  <si>
    <t>NEET2024100497</t>
  </si>
  <si>
    <t>NEET2025100498</t>
  </si>
  <si>
    <t>NEET2026100499</t>
  </si>
  <si>
    <t>NEET2024100500</t>
  </si>
  <si>
    <t>NEET2023100501</t>
  </si>
  <si>
    <t>NEET2024100502</t>
  </si>
  <si>
    <t>NEET2025100503</t>
  </si>
  <si>
    <t>NEET2026100504</t>
  </si>
  <si>
    <t>NEET2025100505</t>
  </si>
  <si>
    <t>NEET2025100506</t>
  </si>
  <si>
    <t>NEET2023100507</t>
  </si>
  <si>
    <t>NEET2024100508</t>
  </si>
  <si>
    <t>NEET2025100509</t>
  </si>
  <si>
    <t>NEET2025100510</t>
  </si>
  <si>
    <t>NEET2023100511</t>
  </si>
  <si>
    <t>NEET2023100512</t>
  </si>
  <si>
    <t>NEET2023100513</t>
  </si>
  <si>
    <t>NEET2026100514</t>
  </si>
  <si>
    <t>NEET2024100515</t>
  </si>
  <si>
    <t>NEET2025100516</t>
  </si>
  <si>
    <t>NEET2023100517</t>
  </si>
  <si>
    <t>NEET2023100518</t>
  </si>
  <si>
    <t>NEET2023100519</t>
  </si>
  <si>
    <t>NEET2025100520</t>
  </si>
  <si>
    <t>NEET2024100521</t>
  </si>
  <si>
    <t>NEET2025100522</t>
  </si>
  <si>
    <t>NEET2024100523</t>
  </si>
  <si>
    <t>NEET2026100524</t>
  </si>
  <si>
    <t>NEET2026100525</t>
  </si>
  <si>
    <t>NEET2023100526</t>
  </si>
  <si>
    <t>NEET2026100527</t>
  </si>
  <si>
    <t>NEET2025100528</t>
  </si>
  <si>
    <t>NEET2025100529</t>
  </si>
  <si>
    <t>NEET2024100530</t>
  </si>
  <si>
    <t>NEET2024100531</t>
  </si>
  <si>
    <t>NEET2024100532</t>
  </si>
  <si>
    <t>NEET2025100533</t>
  </si>
  <si>
    <t>NEET2025100534</t>
  </si>
  <si>
    <t>NEET2024100535</t>
  </si>
  <si>
    <t>NEET2024100536</t>
  </si>
  <si>
    <t>NEET2024100537</t>
  </si>
  <si>
    <t>NEET2025100538</t>
  </si>
  <si>
    <t>NEET2026100539</t>
  </si>
  <si>
    <t>NEET2026100540</t>
  </si>
  <si>
    <t>NEET2024100541</t>
  </si>
  <si>
    <t>NEET2024100542</t>
  </si>
  <si>
    <t>NEET2023100543</t>
  </si>
  <si>
    <t>NEET2024100544</t>
  </si>
  <si>
    <t>NEET2023100545</t>
  </si>
  <si>
    <t>NEET2025100546</t>
  </si>
  <si>
    <t>NEET2024100547</t>
  </si>
  <si>
    <t>NEET2023100548</t>
  </si>
  <si>
    <t>NEET2026100549</t>
  </si>
  <si>
    <t>NEET2026100550</t>
  </si>
  <si>
    <t>NEET2025100551</t>
  </si>
  <si>
    <t>NEET2023100552</t>
  </si>
  <si>
    <t>NEET2023100553</t>
  </si>
  <si>
    <t>NEET2025100554</t>
  </si>
  <si>
    <t>NEET2024100555</t>
  </si>
  <si>
    <t>NEET2025100556</t>
  </si>
  <si>
    <t>NEET2024100557</t>
  </si>
  <si>
    <t>NEET2024100558</t>
  </si>
  <si>
    <t>NEET2025100559</t>
  </si>
  <si>
    <t>NEET2026100560</t>
  </si>
  <si>
    <t>NEET2023100561</t>
  </si>
  <si>
    <t>NEET2026100562</t>
  </si>
  <si>
    <t>NEET2024100563</t>
  </si>
  <si>
    <t>NEET2023100564</t>
  </si>
  <si>
    <t>NEET2026100565</t>
  </si>
  <si>
    <t>NEET2023100566</t>
  </si>
  <si>
    <t>NEET2026100567</t>
  </si>
  <si>
    <t>NEET2024100568</t>
  </si>
  <si>
    <t>NEET2023100569</t>
  </si>
  <si>
    <t>NEET2024100570</t>
  </si>
  <si>
    <t>NEET2023100571</t>
  </si>
  <si>
    <t>NEET2026100572</t>
  </si>
  <si>
    <t>NEET2026100573</t>
  </si>
  <si>
    <t>NEET2023100574</t>
  </si>
  <si>
    <t>NEET2024100575</t>
  </si>
  <si>
    <t>NEET2025100576</t>
  </si>
  <si>
    <t>NEET2023100577</t>
  </si>
  <si>
    <t>NEET2024100578</t>
  </si>
  <si>
    <t>NEET2023100579</t>
  </si>
  <si>
    <t>NEET2026100580</t>
  </si>
  <si>
    <t>NEET2025100581</t>
  </si>
  <si>
    <t>NEET2026100582</t>
  </si>
  <si>
    <t>NEET2023100583</t>
  </si>
  <si>
    <t>NEET2024100584</t>
  </si>
  <si>
    <t>NEET2025100585</t>
  </si>
  <si>
    <t>NEET2024100586</t>
  </si>
  <si>
    <t>NEET2026100587</t>
  </si>
  <si>
    <t>NEET2023100588</t>
  </si>
  <si>
    <t>NEET2024100589</t>
  </si>
  <si>
    <t>NEET2025100590</t>
  </si>
  <si>
    <t>NEET2025100591</t>
  </si>
  <si>
    <t>NEET2023100592</t>
  </si>
  <si>
    <t>NEET2024100593</t>
  </si>
  <si>
    <t>NEET2025100594</t>
  </si>
  <si>
    <t>NEET2025100595</t>
  </si>
  <si>
    <t>NEET2023100596</t>
  </si>
  <si>
    <t>NEET2024100597</t>
  </si>
  <si>
    <t>NEET2024100598</t>
  </si>
  <si>
    <t>NEET2026100599</t>
  </si>
  <si>
    <t>NEET2025100600</t>
  </si>
  <si>
    <t>NEET2023100601</t>
  </si>
  <si>
    <t>NEET2024100602</t>
  </si>
  <si>
    <t>NEET2026100603</t>
  </si>
  <si>
    <t>NEET2025100604</t>
  </si>
  <si>
    <t>NEET2026100605</t>
  </si>
  <si>
    <t>NEET2025100606</t>
  </si>
  <si>
    <t>NEET2026100607</t>
  </si>
  <si>
    <t>NEET2023100608</t>
  </si>
  <si>
    <t>NEET2024100609</t>
  </si>
  <si>
    <t>NEET2024100610</t>
  </si>
  <si>
    <t>NEET2023100611</t>
  </si>
  <si>
    <t>NEET2025100612</t>
  </si>
  <si>
    <t>NEET2026100613</t>
  </si>
  <si>
    <t>NEET2026100614</t>
  </si>
  <si>
    <t>NEET2023100615</t>
  </si>
  <si>
    <t>NEET2024100616</t>
  </si>
  <si>
    <t>NEET2023100617</t>
  </si>
  <si>
    <t>NEET2023100618</t>
  </si>
  <si>
    <t>NEET2025100619</t>
  </si>
  <si>
    <t>NEET2025100620</t>
  </si>
  <si>
    <t>NEET2025100621</t>
  </si>
  <si>
    <t>NEET2023100622</t>
  </si>
  <si>
    <t>NEET2023100623</t>
  </si>
  <si>
    <t>NEET2023100624</t>
  </si>
  <si>
    <t>NEET2024100625</t>
  </si>
  <si>
    <t>NEET2026100626</t>
  </si>
  <si>
    <t>NEET2023100627</t>
  </si>
  <si>
    <t>NEET2026100628</t>
  </si>
  <si>
    <t>NEET2026100629</t>
  </si>
  <si>
    <t>NEET2025100630</t>
  </si>
  <si>
    <t>NEET2024100631</t>
  </si>
  <si>
    <t>NEET2026100632</t>
  </si>
  <si>
    <t>NEET2023100633</t>
  </si>
  <si>
    <t>NEET2024100634</t>
  </si>
  <si>
    <t>NEET2025100635</t>
  </si>
  <si>
    <t>NEET2026100636</t>
  </si>
  <si>
    <t>NEET2026100637</t>
  </si>
  <si>
    <t>NEET2026100638</t>
  </si>
  <si>
    <t>NEET2026100639</t>
  </si>
  <si>
    <t>NEET2023100640</t>
  </si>
  <si>
    <t>NEET2023100641</t>
  </si>
  <si>
    <t>NEET2023100642</t>
  </si>
  <si>
    <t>NEET2023100643</t>
  </si>
  <si>
    <t>NEET2026100644</t>
  </si>
  <si>
    <t>NEET2023100645</t>
  </si>
  <si>
    <t>NEET2023100646</t>
  </si>
  <si>
    <t>NEET2024100647</t>
  </si>
  <si>
    <t>NEET2024100648</t>
  </si>
  <si>
    <t>NEET2023100649</t>
  </si>
  <si>
    <t>NEET2026100650</t>
  </si>
  <si>
    <t>NEET2025100651</t>
  </si>
  <si>
    <t>NEET2024100652</t>
  </si>
  <si>
    <t>NEET2026100653</t>
  </si>
  <si>
    <t>NEET2024100654</t>
  </si>
  <si>
    <t>NEET2026100655</t>
  </si>
  <si>
    <t>NEET2023100656</t>
  </si>
  <si>
    <t>NEET2026100657</t>
  </si>
  <si>
    <t>NEET2026100658</t>
  </si>
  <si>
    <t>NEET2024100659</t>
  </si>
  <si>
    <t>NEET2025100660</t>
  </si>
  <si>
    <t>NEET2024100661</t>
  </si>
  <si>
    <t>NEET2026100662</t>
  </si>
  <si>
    <t>NEET2024100663</t>
  </si>
  <si>
    <t>NEET2024100664</t>
  </si>
  <si>
    <t>NEET2024100665</t>
  </si>
  <si>
    <t>NEET2025100666</t>
  </si>
  <si>
    <t>NEET2023100667</t>
  </si>
  <si>
    <t>NEET2026100668</t>
  </si>
  <si>
    <t>NEET2024100669</t>
  </si>
  <si>
    <t>NEET2024100670</t>
  </si>
  <si>
    <t>NEET2026100671</t>
  </si>
  <si>
    <t>NEET2024100672</t>
  </si>
  <si>
    <t>NEET2023100673</t>
  </si>
  <si>
    <t>NEET2024100674</t>
  </si>
  <si>
    <t>NEET2025100675</t>
  </si>
  <si>
    <t>NEET2023100676</t>
  </si>
  <si>
    <t>NEET2023100677</t>
  </si>
  <si>
    <t>NEET2024100678</t>
  </si>
  <si>
    <t>NEET2025100679</t>
  </si>
  <si>
    <t>NEET2025100680</t>
  </si>
  <si>
    <t>NEET2026100681</t>
  </si>
  <si>
    <t>NEET2025100682</t>
  </si>
  <si>
    <t>NEET2024100683</t>
  </si>
  <si>
    <t>NEET2026100684</t>
  </si>
  <si>
    <t>NEET2024100685</t>
  </si>
  <si>
    <t>NEET2026100686</t>
  </si>
  <si>
    <t>NEET2025100687</t>
  </si>
  <si>
    <t>NEET2026100688</t>
  </si>
  <si>
    <t>NEET2025100689</t>
  </si>
  <si>
    <t>NEET2023100690</t>
  </si>
  <si>
    <t>NEET2025100691</t>
  </si>
  <si>
    <t>NEET2025100692</t>
  </si>
  <si>
    <t>NEET2025100693</t>
  </si>
  <si>
    <t>NEET2025100694</t>
  </si>
  <si>
    <t>NEET2024100695</t>
  </si>
  <si>
    <t>NEET2025100696</t>
  </si>
  <si>
    <t>NEET2025100697</t>
  </si>
  <si>
    <t>NEET2025100698</t>
  </si>
  <si>
    <t>NEET2026100699</t>
  </si>
  <si>
    <t>NEET2025100700</t>
  </si>
  <si>
    <t>NEET2023100701</t>
  </si>
  <si>
    <t>NEET2025100702</t>
  </si>
  <si>
    <t>NEET2023100703</t>
  </si>
  <si>
    <t>NEET2024100704</t>
  </si>
  <si>
    <t>NEET2023100705</t>
  </si>
  <si>
    <t>NEET2024100706</t>
  </si>
  <si>
    <t>NEET2024100707</t>
  </si>
  <si>
    <t>NEET2026100708</t>
  </si>
  <si>
    <t>NEET2023100709</t>
  </si>
  <si>
    <t>NEET2024100710</t>
  </si>
  <si>
    <t>NEET2025100711</t>
  </si>
  <si>
    <t>NEET2024100712</t>
  </si>
  <si>
    <t>NEET2025100713</t>
  </si>
  <si>
    <t>NEET2024100714</t>
  </si>
  <si>
    <t>NEET2025100715</t>
  </si>
  <si>
    <t>NEET2025100716</t>
  </si>
  <si>
    <t>NEET2026100717</t>
  </si>
  <si>
    <t>NEET2023100718</t>
  </si>
  <si>
    <t>NEET2025100719</t>
  </si>
  <si>
    <t>NEET2025100720</t>
  </si>
  <si>
    <t>NEET2023100721</t>
  </si>
  <si>
    <t>NEET2023100722</t>
  </si>
  <si>
    <t>NEET2023100723</t>
  </si>
  <si>
    <t>NEET2025100724</t>
  </si>
  <si>
    <t>NEET2026100725</t>
  </si>
  <si>
    <t>NEET2026100726</t>
  </si>
  <si>
    <t>NEET2026100727</t>
  </si>
  <si>
    <t>NEET2025100728</t>
  </si>
  <si>
    <t>NEET2023100729</t>
  </si>
  <si>
    <t>NEET2024100730</t>
  </si>
  <si>
    <t>NEET2024100731</t>
  </si>
  <si>
    <t>NEET2026100732</t>
  </si>
  <si>
    <t>NEET2023100733</t>
  </si>
  <si>
    <t>NEET2025100734</t>
  </si>
  <si>
    <t>NEET2025100735</t>
  </si>
  <si>
    <t>NEET2025100736</t>
  </si>
  <si>
    <t>NEET2025100737</t>
  </si>
  <si>
    <t>NEET2024100738</t>
  </si>
  <si>
    <t>NEET2026100739</t>
  </si>
  <si>
    <t>NEET2026100740</t>
  </si>
  <si>
    <t>NEET2024100741</t>
  </si>
  <si>
    <t>NEET2026100742</t>
  </si>
  <si>
    <t>NEET2025100743</t>
  </si>
  <si>
    <t>NEET2023100744</t>
  </si>
  <si>
    <t>NEET2023100745</t>
  </si>
  <si>
    <t>NEET2026100746</t>
  </si>
  <si>
    <t>NEET2026100747</t>
  </si>
  <si>
    <t>NEET2026100748</t>
  </si>
  <si>
    <t>NEET2023100749</t>
  </si>
  <si>
    <t>NEET2024100750</t>
  </si>
  <si>
    <t>NEET2024100751</t>
  </si>
  <si>
    <t>NEET2026100752</t>
  </si>
  <si>
    <t>NEET2025100753</t>
  </si>
  <si>
    <t>NEET2023100754</t>
  </si>
  <si>
    <t>NEET2024100755</t>
  </si>
  <si>
    <t>NEET2025100756</t>
  </si>
  <si>
    <t>NEET2023100757</t>
  </si>
  <si>
    <t>NEET2026100758</t>
  </si>
  <si>
    <t>NEET2026100759</t>
  </si>
  <si>
    <t>NEET2026100760</t>
  </si>
  <si>
    <t>NEET2024100761</t>
  </si>
  <si>
    <t>NEET2026100762</t>
  </si>
  <si>
    <t>NEET2026100763</t>
  </si>
  <si>
    <t>NEET2023100764</t>
  </si>
  <si>
    <t>NEET2023100765</t>
  </si>
  <si>
    <t>NEET2025100766</t>
  </si>
  <si>
    <t>NEET2025100767</t>
  </si>
  <si>
    <t>NEET2026100768</t>
  </si>
  <si>
    <t>NEET2026100769</t>
  </si>
  <si>
    <t>NEET2025100770</t>
  </si>
  <si>
    <t>NEET2023100771</t>
  </si>
  <si>
    <t>NEET2024100772</t>
  </si>
  <si>
    <t>NEET2023100773</t>
  </si>
  <si>
    <t>NEET2023100774</t>
  </si>
  <si>
    <t>NEET2026100775</t>
  </si>
  <si>
    <t>NEET2023100776</t>
  </si>
  <si>
    <t>NEET2024100777</t>
  </si>
  <si>
    <t>NEET2026100778</t>
  </si>
  <si>
    <t>NEET2024100779</t>
  </si>
  <si>
    <t>NEET2025100780</t>
  </si>
  <si>
    <t>NEET2024100781</t>
  </si>
  <si>
    <t>NEET2024100782</t>
  </si>
  <si>
    <t>NEET2023100783</t>
  </si>
  <si>
    <t>NEET2025100784</t>
  </si>
  <si>
    <t>NEET2023100785</t>
  </si>
  <si>
    <t>NEET2024100786</t>
  </si>
  <si>
    <t>NEET2023100787</t>
  </si>
  <si>
    <t>NEET2025100788</t>
  </si>
  <si>
    <t>NEET2023100789</t>
  </si>
  <si>
    <t>NEET2024100790</t>
  </si>
  <si>
    <t>NEET2024100791</t>
  </si>
  <si>
    <t>NEET2026100792</t>
  </si>
  <si>
    <t>NEET2025100793</t>
  </si>
  <si>
    <t>NEET2023100794</t>
  </si>
  <si>
    <t>NEET2026100795</t>
  </si>
  <si>
    <t>NEET2026100796</t>
  </si>
  <si>
    <t>NEET2026100797</t>
  </si>
  <si>
    <t>NEET2024100798</t>
  </si>
  <si>
    <t>NEET2024100799</t>
  </si>
  <si>
    <t>NEET2023100800</t>
  </si>
  <si>
    <t>NEET2026100801</t>
  </si>
  <si>
    <t>NEET2023100802</t>
  </si>
  <si>
    <t>NEET2023100803</t>
  </si>
  <si>
    <t>NEET2026100804</t>
  </si>
  <si>
    <t>NEET2023100805</t>
  </si>
  <si>
    <t>NEET2026100806</t>
  </si>
  <si>
    <t>NEET2026100807</t>
  </si>
  <si>
    <t>NEET2023100808</t>
  </si>
  <si>
    <t>NEET2023100809</t>
  </si>
  <si>
    <t>NEET2025100810</t>
  </si>
  <si>
    <t>NEET2024100811</t>
  </si>
  <si>
    <t>NEET2025100812</t>
  </si>
  <si>
    <t>NEET2025100813</t>
  </si>
  <si>
    <t>NEET2025100814</t>
  </si>
  <si>
    <t>NEET2024100815</t>
  </si>
  <si>
    <t>NEET2024100816</t>
  </si>
  <si>
    <t>NEET2026100817</t>
  </si>
  <si>
    <t>NEET2026100818</t>
  </si>
  <si>
    <t>NEET2026100819</t>
  </si>
  <si>
    <t>NEET2026100820</t>
  </si>
  <si>
    <t>NEET2023100821</t>
  </si>
  <si>
    <t>NEET2023100822</t>
  </si>
  <si>
    <t>NEET2026100823</t>
  </si>
  <si>
    <t>NEET2025100824</t>
  </si>
  <si>
    <t>NEET2026100825</t>
  </si>
  <si>
    <t>NEET2023100826</t>
  </si>
  <si>
    <t>NEET2023100827</t>
  </si>
  <si>
    <t>NEET2024100828</t>
  </si>
  <si>
    <t>NEET2025100829</t>
  </si>
  <si>
    <t>NEET2023100830</t>
  </si>
  <si>
    <t>NEET2026100831</t>
  </si>
  <si>
    <t>NEET2025100832</t>
  </si>
  <si>
    <t>NEET2023100833</t>
  </si>
  <si>
    <t>NEET2026100834</t>
  </si>
  <si>
    <t>NEET2026100835</t>
  </si>
  <si>
    <t>NEET2023100836</t>
  </si>
  <si>
    <t>NEET2024100837</t>
  </si>
  <si>
    <t>NEET2024100838</t>
  </si>
  <si>
    <t>NEET2023100839</t>
  </si>
  <si>
    <t>NEET2025100840</t>
  </si>
  <si>
    <t>NEET2025100841</t>
  </si>
  <si>
    <t>NEET2024100842</t>
  </si>
  <si>
    <t>NEET2026100843</t>
  </si>
  <si>
    <t>NEET2023100844</t>
  </si>
  <si>
    <t>NEET2024100845</t>
  </si>
  <si>
    <t>NEET2025100846</t>
  </si>
  <si>
    <t>NEET2023100847</t>
  </si>
  <si>
    <t>NEET2026100848</t>
  </si>
  <si>
    <t>NEET2025100849</t>
  </si>
  <si>
    <t>NEET2026100850</t>
  </si>
  <si>
    <t>NEET2026100851</t>
  </si>
  <si>
    <t>NEET2026100852</t>
  </si>
  <si>
    <t>NEET2026100853</t>
  </si>
  <si>
    <t>NEET2026100854</t>
  </si>
  <si>
    <t>NEET2025100855</t>
  </si>
  <si>
    <t>NEET2023100856</t>
  </si>
  <si>
    <t>NEET2026100857</t>
  </si>
  <si>
    <t>NEET2025100858</t>
  </si>
  <si>
    <t>NEET2026100859</t>
  </si>
  <si>
    <t>NEET2023100860</t>
  </si>
  <si>
    <t>NEET2025100861</t>
  </si>
  <si>
    <t>NEET2024100862</t>
  </si>
  <si>
    <t>NEET2026100863</t>
  </si>
  <si>
    <t>NEET2024100864</t>
  </si>
  <si>
    <t>NEET2024100865</t>
  </si>
  <si>
    <t>NEET2025100866</t>
  </si>
  <si>
    <t>NEET2026100867</t>
  </si>
  <si>
    <t>NEET2023100868</t>
  </si>
  <si>
    <t>NEET2026100869</t>
  </si>
  <si>
    <t>NEET2025100870</t>
  </si>
  <si>
    <t>NEET2023100871</t>
  </si>
  <si>
    <t>NEET2024100872</t>
  </si>
  <si>
    <t>NEET2024100873</t>
  </si>
  <si>
    <t>NEET2024100874</t>
  </si>
  <si>
    <t>NEET2026100875</t>
  </si>
  <si>
    <t>NEET2026100876</t>
  </si>
  <si>
    <t>NEET2025100877</t>
  </si>
  <si>
    <t>NEET2025100878</t>
  </si>
  <si>
    <t>NEET2023100879</t>
  </si>
  <si>
    <t>NEET2025100880</t>
  </si>
  <si>
    <t>NEET2026100881</t>
  </si>
  <si>
    <t>NEET2025100882</t>
  </si>
  <si>
    <t>NEET2024100883</t>
  </si>
  <si>
    <t>NEET2025100884</t>
  </si>
  <si>
    <t>NEET2026100885</t>
  </si>
  <si>
    <t>NEET2026100886</t>
  </si>
  <si>
    <t>NEET2026100887</t>
  </si>
  <si>
    <t>NEET2025100888</t>
  </si>
  <si>
    <t>NEET2023100889</t>
  </si>
  <si>
    <t>NEET2024100890</t>
  </si>
  <si>
    <t>NEET2026100891</t>
  </si>
  <si>
    <t>NEET2023100892</t>
  </si>
  <si>
    <t>NEET2023100893</t>
  </si>
  <si>
    <t>NEET2023100894</t>
  </si>
  <si>
    <t>NEET2025100895</t>
  </si>
  <si>
    <t>NEET2024100896</t>
  </si>
  <si>
    <t>NEET2026100897</t>
  </si>
  <si>
    <t>NEET2025100898</t>
  </si>
  <si>
    <t>NEET2024100899</t>
  </si>
  <si>
    <t>NEET2024100900</t>
  </si>
  <si>
    <t>NEET2026100901</t>
  </si>
  <si>
    <t>NEET2026100902</t>
  </si>
  <si>
    <t>NEET2024100903</t>
  </si>
  <si>
    <t>NEET2024100904</t>
  </si>
  <si>
    <t>NEET2023100905</t>
  </si>
  <si>
    <t>NEET2024100906</t>
  </si>
  <si>
    <t>NEET2026100907</t>
  </si>
  <si>
    <t>NEET2025100908</t>
  </si>
  <si>
    <t>NEET2023100909</t>
  </si>
  <si>
    <t>NEET2025100910</t>
  </si>
  <si>
    <t>NEET2025100911</t>
  </si>
  <si>
    <t>NEET2026100912</t>
  </si>
  <si>
    <t>NEET2026100913</t>
  </si>
  <si>
    <t>NEET2024100914</t>
  </si>
  <si>
    <t>NEET2024100915</t>
  </si>
  <si>
    <t>NEET2023100916</t>
  </si>
  <si>
    <t>NEET2024100917</t>
  </si>
  <si>
    <t>NEET2025100918</t>
  </si>
  <si>
    <t>NEET2024100919</t>
  </si>
  <si>
    <t>NEET2024100920</t>
  </si>
  <si>
    <t>NEET2023100921</t>
  </si>
  <si>
    <t>NEET2024100922</t>
  </si>
  <si>
    <t>NEET2025100923</t>
  </si>
  <si>
    <t>NEET2026100924</t>
  </si>
  <si>
    <t>NEET2024100925</t>
  </si>
  <si>
    <t>NEET2023100926</t>
  </si>
  <si>
    <t>NEET2025100927</t>
  </si>
  <si>
    <t>NEET2023100928</t>
  </si>
  <si>
    <t>NEET2025100929</t>
  </si>
  <si>
    <t>NEET2023100930</t>
  </si>
  <si>
    <t>NEET2024100931</t>
  </si>
  <si>
    <t>NEET2024100932</t>
  </si>
  <si>
    <t>NEET2025100933</t>
  </si>
  <si>
    <t>NEET2023100934</t>
  </si>
  <si>
    <t>NEET2025100935</t>
  </si>
  <si>
    <t>NEET2024100936</t>
  </si>
  <si>
    <t>NEET2025100937</t>
  </si>
  <si>
    <t>NEET2026100938</t>
  </si>
  <si>
    <t>NEET2023100939</t>
  </si>
  <si>
    <t>NEET2023100940</t>
  </si>
  <si>
    <t>NEET2025100941</t>
  </si>
  <si>
    <t>NEET2023100942</t>
  </si>
  <si>
    <t>NEET2024100943</t>
  </si>
  <si>
    <t>NEET2023100944</t>
  </si>
  <si>
    <t>NEET2025100945</t>
  </si>
  <si>
    <t>NEET2023100946</t>
  </si>
  <si>
    <t>NEET2023100947</t>
  </si>
  <si>
    <t>NEET2023100948</t>
  </si>
  <si>
    <t>NEET2024100949</t>
  </si>
  <si>
    <t>NEET2026100950</t>
  </si>
  <si>
    <t>NEET2025100951</t>
  </si>
  <si>
    <t>NEET2023100952</t>
  </si>
  <si>
    <t>NEET2024100953</t>
  </si>
  <si>
    <t>NEET2026100954</t>
  </si>
  <si>
    <t>NEET2025100955</t>
  </si>
  <si>
    <t>NEET2024100956</t>
  </si>
  <si>
    <t>NEET2026100957</t>
  </si>
  <si>
    <t>NEET2025100958</t>
  </si>
  <si>
    <t>NEET2025100959</t>
  </si>
  <si>
    <t>NEET2024100960</t>
  </si>
  <si>
    <t>NEET2026100961</t>
  </si>
  <si>
    <t>NEET2025100962</t>
  </si>
  <si>
    <t>NEET2025100963</t>
  </si>
  <si>
    <t>NEET2023100964</t>
  </si>
  <si>
    <t>NEET2026100965</t>
  </si>
  <si>
    <t>NEET2024100966</t>
  </si>
  <si>
    <t>NEET2026100967</t>
  </si>
  <si>
    <t>NEET2026100968</t>
  </si>
  <si>
    <t>NEET2025100969</t>
  </si>
  <si>
    <t>NEET2024100970</t>
  </si>
  <si>
    <t>NEET2026100971</t>
  </si>
  <si>
    <t>NEET2024100972</t>
  </si>
  <si>
    <t>NEET2024100973</t>
  </si>
  <si>
    <t>NEET2023100974</t>
  </si>
  <si>
    <t>NEET2024100975</t>
  </si>
  <si>
    <t>NEET2023100976</t>
  </si>
  <si>
    <t>NEET2024100977</t>
  </si>
  <si>
    <t>NEET2024100978</t>
  </si>
  <si>
    <t>NEET2023100979</t>
  </si>
  <si>
    <t>NEET2026100980</t>
  </si>
  <si>
    <t>NEET2025100981</t>
  </si>
  <si>
    <t>NEET2026100982</t>
  </si>
  <si>
    <t>NEET2025100983</t>
  </si>
  <si>
    <t>NEET2025100984</t>
  </si>
  <si>
    <t>NEET2026100985</t>
  </si>
  <si>
    <t>NEET2023100986</t>
  </si>
  <si>
    <t>NEET2025100987</t>
  </si>
  <si>
    <t>NEET2023100988</t>
  </si>
  <si>
    <t>NEET2024100989</t>
  </si>
  <si>
    <t>NEET2025100990</t>
  </si>
  <si>
    <t>NEET2023100991</t>
  </si>
  <si>
    <t>NEET2026100992</t>
  </si>
  <si>
    <t>NEET2026100993</t>
  </si>
  <si>
    <t>NEET2025100994</t>
  </si>
  <si>
    <t>NEET2026100995</t>
  </si>
  <si>
    <t>NEET2026100996</t>
  </si>
  <si>
    <t>NEET2024100997</t>
  </si>
  <si>
    <t>NEET2023100998</t>
  </si>
  <si>
    <t>NEET2023100999</t>
  </si>
  <si>
    <t>NEET2023101000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</si>
  <si>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</si>
  <si>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</si>
  <si>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</si>
  <si>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</si>
  <si>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</si>
  <si>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</si>
  <si>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</si>
  <si>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</si>
  <si>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</si>
  <si>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</si>
  <si>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</si>
  <si>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</si>
  <si>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</si>
  <si>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</si>
  <si>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</si>
  <si>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</si>
  <si>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Physics Marks</t>
  </si>
  <si>
    <t>Bio Marks</t>
  </si>
  <si>
    <t>Chemistry Marks</t>
  </si>
  <si>
    <t>Total Marks</t>
  </si>
  <si>
    <t>Row Labels</t>
  </si>
  <si>
    <t>Grand Total</t>
  </si>
  <si>
    <t>Column Labels</t>
  </si>
  <si>
    <t>Average of Total_Marks_720</t>
  </si>
  <si>
    <t>Max of Total_Marks_720</t>
  </si>
  <si>
    <t>Count of Seat_No</t>
  </si>
  <si>
    <t>Min of Total_Marks_720</t>
  </si>
  <si>
    <t xml:space="preserve"> </t>
  </si>
  <si>
    <t>Count of Total_Marks_720</t>
  </si>
  <si>
    <t>Max of Biology_Marks_360</t>
  </si>
  <si>
    <t>Max of Physics_Marks_180</t>
  </si>
  <si>
    <t>Max of Chemistry_Marks_180</t>
  </si>
  <si>
    <t>(Multiple Items)</t>
  </si>
  <si>
    <t>Year</t>
  </si>
  <si>
    <t>Attempt No.</t>
  </si>
  <si>
    <t>Age of Student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</si>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</sst>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12" xfId="0" applyFill="1" applyBorder="1" applyAlignment="1"/>
    <xf numFmtId="0" fontId="0" fillId="0" borderId="13" xfId="0" applyFill="1" applyBorder="1" applyAlignment="1"/>
    <xf numFmtId="0" fontId="0" fillId="0" borderId="14" xfId="0" applyFill="1" applyBorder="1" applyAlignment="1"/>
    <xf numFmtId="0" fontId="0" fillId="0" borderId="15" xfId="0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6" fillId="0" borderId="0" xfId="0" applyFont="1"/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[neet_exam_dataset_updated.xlsx]Dash-Board 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36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'Dash-Board '!$C$2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'Dash-Board '!$B$3:$B$5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'Dash-Board '!$C$3:$C$5</c:f>
              <c:numCache>
                <c:formatCode>General</c:formatCode>
                <c:ptCount val="2"/>
                <c:pt idx="0">
                  <c:v>521</c:v>
                </c:pt>
                <c:pt idx="1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0-4DCB-839B-5BA5BA3797C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[neet_exam_dataset_updated.xlsx]Dash-Board !PivotTable2</c:name>
    <c:fmtId val="4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'Dash-Board '!$G$2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'Dash-Board '!$F$3:$F$9</c:f>
              <c:strCache>
                <c:ptCount val="6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  <c:pt idx="3">
                  <c:v>Tamil Nadu</c:v>
                </c:pt>
                <c:pt idx="4">
                  <c:v>Telangana</c:v>
                </c:pt>
                <c:pt idx="5">
                  <c:v>West Bengal</c:v>
                </c:pt>
              </c:strCache>
            </c:strRef>
          </c:cat>
          <c:val>
            <c:numRef>
              <c:f>'Dash-Board '!$G$3:$G$9</c:f>
              <c:numCache>
                <c:formatCode>General</c:formatCode>
                <c:ptCount val="6"/>
                <c:pt idx="0">
                  <c:v>74</c:v>
                </c:pt>
                <c:pt idx="1">
                  <c:v>72</c:v>
                </c:pt>
                <c:pt idx="2">
                  <c:v>675</c:v>
                </c:pt>
                <c:pt idx="3">
                  <c:v>61</c:v>
                </c:pt>
                <c:pt idx="4">
                  <c:v>65</c:v>
                </c:pt>
                <c:pt idx="5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D-4926-917D-7F12EA71CA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295699552"/>
        <c:axId val="415431280"/>
        <c:axId val="0"/>
      </c:bar3DChart>
      <c:catAx>
        <c:axId val="29569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431280"/>
        <c:crosses val="autoZero"/>
        <c:auto val="1"/>
        <c:lblAlgn val="ctr"/>
        <c:lblOffset val="100"/>
        <c:noMultiLvlLbl val="0"/>
      </c:catAx>
      <c:valAx>
        <c:axId val="4154312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9569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[neet_exam_dataset_updated.xlsx]Dash-Board !PivotTable3</c:name>
    <c:fmtId val="2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'Dash-Board '!$K$2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'Dash-Board '!$J$3:$J$7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'Dash-Board '!$K$3:$K$7</c:f>
              <c:numCache>
                <c:formatCode>General</c:formatCode>
                <c:ptCount val="4"/>
                <c:pt idx="0">
                  <c:v>241</c:v>
                </c:pt>
                <c:pt idx="1">
                  <c:v>244</c:v>
                </c:pt>
                <c:pt idx="2">
                  <c:v>251</c:v>
                </c:pt>
                <c:pt idx="3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4-4A10-B6DD-0770D4782B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5715152"/>
        <c:axId val="859854320"/>
      </c:barChart>
      <c:catAx>
        <c:axId val="29571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854320"/>
        <c:crosses val="autoZero"/>
        <c:auto val="1"/>
        <c:lblAlgn val="ctr"/>
        <c:lblOffset val="100"/>
        <c:noMultiLvlLbl val="0"/>
      </c:catAx>
      <c:valAx>
        <c:axId val="85985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1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[neet_exam_dataset_updated.xlsx]Dash-Board !PivotTable4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'Dash-Board '!$O$2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'Dash-Board '!$N$3:$N$8</c:f>
              <c:strCache>
                <c:ptCount val="5"/>
                <c:pt idx="0">
                  <c:v>EWS</c:v>
                </c:pt>
                <c:pt idx="1">
                  <c:v>General</c:v>
                </c:pt>
                <c:pt idx="2">
                  <c:v>OBC</c:v>
                </c:pt>
                <c:pt idx="3">
                  <c:v>SC</c:v>
                </c:pt>
                <c:pt idx="4">
                  <c:v>ST</c:v>
                </c:pt>
              </c:strCache>
            </c:strRef>
          </c:cat>
          <c:val>
            <c:numRef>
              <c:f>'Dash-Board '!$O$3:$O$8</c:f>
              <c:numCache>
                <c:formatCode>General</c:formatCode>
                <c:ptCount val="5"/>
                <c:pt idx="0">
                  <c:v>188</c:v>
                </c:pt>
                <c:pt idx="1">
                  <c:v>225</c:v>
                </c:pt>
                <c:pt idx="2">
                  <c:v>183</c:v>
                </c:pt>
                <c:pt idx="3">
                  <c:v>189</c:v>
                </c:pt>
                <c:pt idx="4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C-44DE-AF7C-3F2CCAF86F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[neet_exam_dataset_updated.xlsx]Dash-Board !PivotTable19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'Dash-Board '!$V$2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'Dash-Board '!$U$3:$U$12</c:f>
              <c:strCache>
                <c:ptCount val="9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</c:strCache>
            </c:strRef>
          </c:cat>
          <c:val>
            <c:numRef>
              <c:f>'Dash-Board '!$V$3:$V$12</c:f>
              <c:numCache>
                <c:formatCode>General</c:formatCode>
                <c:ptCount val="9"/>
                <c:pt idx="0">
                  <c:v>100</c:v>
                </c:pt>
                <c:pt idx="1">
                  <c:v>133</c:v>
                </c:pt>
                <c:pt idx="2">
                  <c:v>122</c:v>
                </c:pt>
                <c:pt idx="3">
                  <c:v>104</c:v>
                </c:pt>
                <c:pt idx="4">
                  <c:v>111</c:v>
                </c:pt>
                <c:pt idx="5">
                  <c:v>89</c:v>
                </c:pt>
                <c:pt idx="6">
                  <c:v>119</c:v>
                </c:pt>
                <c:pt idx="7">
                  <c:v>110</c:v>
                </c:pt>
                <c:pt idx="8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3-44CF-8CD4-FC405B27A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5753952"/>
        <c:axId val="859859728"/>
        <c:axId val="0"/>
      </c:bar3DChart>
      <c:catAx>
        <c:axId val="29575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859728"/>
        <c:crosses val="autoZero"/>
        <c:auto val="1"/>
        <c:lblAlgn val="ctr"/>
        <c:lblOffset val="100"/>
        <c:noMultiLvlLbl val="0"/>
      </c:catAx>
      <c:valAx>
        <c:axId val="85985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53952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[neet_exam_dataset_updated.xlsx]Dash-Board !PivotTable20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'Dash-Board '!$AG$3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'Dash-Board '!$AF$4:$AF$14</c:f>
              <c:strCache>
                <c:ptCount val="10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</c:strCache>
            </c:strRef>
          </c:cat>
          <c:val>
            <c:numRef>
              <c:f>'Dash-Board '!$AG$4:$AG$14</c:f>
              <c:numCache>
                <c:formatCode>General</c:formatCode>
                <c:ptCount val="10"/>
                <c:pt idx="0">
                  <c:v>9</c:v>
                </c:pt>
                <c:pt idx="1">
                  <c:v>116</c:v>
                </c:pt>
                <c:pt idx="2">
                  <c:v>106</c:v>
                </c:pt>
                <c:pt idx="3">
                  <c:v>121</c:v>
                </c:pt>
                <c:pt idx="4">
                  <c:v>88</c:v>
                </c:pt>
                <c:pt idx="5">
                  <c:v>111</c:v>
                </c:pt>
                <c:pt idx="6">
                  <c:v>112</c:v>
                </c:pt>
                <c:pt idx="7">
                  <c:v>120</c:v>
                </c:pt>
                <c:pt idx="8">
                  <c:v>127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5-4259-BD04-9D39146A7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323852</xdr:colOff>
      <xdr:row>6</xdr:row>
      <xdr:rowOff>166687</xdr:rowOff>
    </xdr:from>
    <xdr:to>
      <xdr:col>3</xdr:col>
      <xdr:colOff>828675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D05501-759D-44C2-9677-FB43DC2AD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1504950</xdr:colOff>
      <xdr:row>9</xdr:row>
      <xdr:rowOff>109537</xdr:rowOff>
    </xdr:from>
    <xdr:to>
      <xdr:col>7</xdr:col>
      <xdr:colOff>1162050</xdr:colOff>
      <xdr:row>21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6AE4FF-36A1-4388-9AF8-A7C0B9C29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1543050</xdr:colOff>
      <xdr:row>8</xdr:row>
      <xdr:rowOff>42862</xdr:rowOff>
    </xdr:from>
    <xdr:to>
      <xdr:col>11</xdr:col>
      <xdr:colOff>1038225</xdr:colOff>
      <xdr:row>20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628308-54C3-4927-AC63-E6E4ADB85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28575</xdr:colOff>
      <xdr:row>9</xdr:row>
      <xdr:rowOff>52387</xdr:rowOff>
    </xdr:from>
    <xdr:to>
      <xdr:col>15</xdr:col>
      <xdr:colOff>723900</xdr:colOff>
      <xdr:row>21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906092-C7F2-4C2E-93CD-0D004067F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361950</xdr:colOff>
      <xdr:row>1</xdr:row>
      <xdr:rowOff>109537</xdr:rowOff>
    </xdr:from>
    <xdr:to>
      <xdr:col>30</xdr:col>
      <xdr:colOff>57150</xdr:colOff>
      <xdr:row>15</xdr:row>
      <xdr:rowOff>185737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438A90-877D-46EF-B6EA-9EE22EE7E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304800</xdr:colOff>
      <xdr:row>3</xdr:row>
      <xdr:rowOff>23812</xdr:rowOff>
    </xdr:from>
    <xdr:to>
      <xdr:col>40</xdr:col>
      <xdr:colOff>95250</xdr:colOff>
      <xdr:row>15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F49BBB6-37BE-4874-AAA4-5CEB39BC5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59.754347222224" createdVersion="6" refreshedVersion="6" minRefreshableVersion="3" recordCount="1000" xr:uid="{1CA70C33-56C3-46B2-B3E4-E6ACCD6CB600}">
  <cacheSource type="worksheet">
    <worksheetSource name="NEET"/>
  </cacheSource>
  <cacheFields count="15">
    <cacheField name="Seat_No" numFmtId="0">
      <sharedItems/>
    </cacheField>
    <cacheField name="Gender" numFmtId="0">
      <sharedItems count="2">
        <s v="Male"/>
        <s v="Female"/>
      </sharedItems>
    </cacheField>
    <cacheField name="Date_of_Birth" numFmtId="14">
      <sharedItems containsSemiMixedTypes="0" containsNonDate="0" containsDate="1" containsString="0" minDate="2000-01-01T00:00:00" maxDate="2008-12-28T00:00:00" count="857">
        <d v="2007-03-04T00:00:00"/>
        <d v="2006-08-15T00:00:00"/>
        <d v="2008-01-11T00:00:00"/>
        <d v="2003-10-25T00:00:00"/>
        <d v="2003-11-09T00:00:00"/>
        <d v="2007-01-18T00:00:00"/>
        <d v="2002-08-11T00:00:00"/>
        <d v="2002-05-08T00:00:00"/>
        <d v="2007-03-06T00:00:00"/>
        <d v="2003-01-01T00:00:00"/>
        <d v="2002-12-20T00:00:00"/>
        <d v="2001-07-20T00:00:00"/>
        <d v="2004-04-25T00:00:00"/>
        <d v="2003-04-17T00:00:00"/>
        <d v="2001-09-18T00:00:00"/>
        <d v="2004-01-26T00:00:00"/>
        <d v="2008-07-12T00:00:00"/>
        <d v="2007-12-30T00:00:00"/>
        <d v="2003-10-16T00:00:00"/>
        <d v="2000-10-03T00:00:00"/>
        <d v="2008-02-10T00:00:00"/>
        <d v="2001-02-01T00:00:00"/>
        <d v="2004-07-07T00:00:00"/>
        <d v="2002-01-21T00:00:00"/>
        <d v="2001-01-17T00:00:00"/>
        <d v="2001-11-05T00:00:00"/>
        <d v="2001-09-26T00:00:00"/>
        <d v="2005-08-21T00:00:00"/>
        <d v="2007-07-28T00:00:00"/>
        <d v="2002-12-04T00:00:00"/>
        <d v="2008-06-06T00:00:00"/>
        <d v="2001-06-26T00:00:00"/>
        <d v="2006-11-10T00:00:00"/>
        <d v="2001-03-14T00:00:00"/>
        <d v="2005-09-01T00:00:00"/>
        <d v="2008-08-24T00:00:00"/>
        <d v="2006-02-12T00:00:00"/>
        <d v="2004-02-02T00:00:00"/>
        <d v="2006-12-17T00:00:00"/>
        <d v="2008-10-09T00:00:00"/>
        <d v="2002-06-30T00:00:00"/>
        <d v="2003-09-06T00:00:00"/>
        <d v="2002-01-01T00:00:00"/>
        <d v="2004-04-26T00:00:00"/>
        <d v="2004-01-31T00:00:00"/>
        <d v="2004-07-06T00:00:00"/>
        <d v="2004-07-21T00:00:00"/>
        <d v="2004-12-16T00:00:00"/>
        <d v="2005-04-30T00:00:00"/>
        <d v="2001-08-27T00:00:00"/>
        <d v="2001-05-12T00:00:00"/>
        <d v="2001-10-13T00:00:00"/>
        <d v="2004-12-06T00:00:00"/>
        <d v="2002-08-05T00:00:00"/>
        <d v="2004-08-30T00:00:00"/>
        <d v="2003-05-08T00:00:00"/>
        <d v="2005-06-12T00:00:00"/>
        <d v="2004-06-01T00:00:00"/>
        <d v="2002-12-01T00:00:00"/>
        <d v="2002-10-30T00:00:00"/>
        <d v="2008-06-16T00:00:00"/>
        <d v="2006-04-29T00:00:00"/>
        <d v="2006-06-28T00:00:00"/>
        <d v="2001-02-21T00:00:00"/>
        <d v="2005-09-03T00:00:00"/>
        <d v="2007-12-07T00:00:00"/>
        <d v="2003-08-13T00:00:00"/>
        <d v="2003-10-09T00:00:00"/>
        <d v="2003-02-19T00:00:00"/>
        <d v="2006-03-24T00:00:00"/>
        <d v="2004-07-14T00:00:00"/>
        <d v="2003-12-12T00:00:00"/>
        <d v="2001-05-04T00:00:00"/>
        <d v="2001-02-15T00:00:00"/>
        <d v="2003-01-28T00:00:00"/>
        <d v="2005-04-06T00:00:00"/>
        <d v="2004-06-29T00:00:00"/>
        <d v="2001-04-30T00:00:00"/>
        <d v="2003-06-04T00:00:00"/>
        <d v="2001-12-12T00:00:00"/>
        <d v="2002-08-06T00:00:00"/>
        <d v="2006-02-08T00:00:00"/>
        <d v="2004-12-03T00:00:00"/>
        <d v="2004-11-04T00:00:00"/>
        <d v="2008-07-22T00:00:00"/>
        <d v="2007-02-13T00:00:00"/>
        <d v="2001-10-20T00:00:00"/>
        <d v="2005-10-24T00:00:00"/>
        <d v="2007-10-31T00:00:00"/>
        <d v="2001-01-16T00:00:00"/>
        <d v="2004-08-28T00:00:00"/>
        <d v="2000-10-12T00:00:00"/>
        <d v="2001-08-31T00:00:00"/>
        <d v="2007-10-27T00:00:00"/>
        <d v="2004-04-30T00:00:00"/>
        <d v="2005-11-24T00:00:00"/>
        <d v="2003-10-18T00:00:00"/>
        <d v="2006-12-04T00:00:00"/>
        <d v="2001-11-12T00:00:00"/>
        <d v="2004-10-30T00:00:00"/>
        <d v="2006-12-13T00:00:00"/>
        <d v="2002-11-11T00:00:00"/>
        <d v="2007-03-02T00:00:00"/>
        <d v="2004-04-11T00:00:00"/>
        <d v="2006-05-07T00:00:00"/>
        <d v="2007-08-08T00:00:00"/>
        <d v="2008-03-18T00:00:00"/>
        <d v="2005-12-14T00:00:00"/>
        <d v="2000-11-04T00:00:00"/>
        <d v="2006-01-06T00:00:00"/>
        <d v="2000-04-12T00:00:00"/>
        <d v="2001-07-26T00:00:00"/>
        <d v="2004-05-10T00:00:00"/>
        <d v="2007-06-07T00:00:00"/>
        <d v="2006-07-29T00:00:00"/>
        <d v="2008-12-14T00:00:00"/>
        <d v="2000-03-05T00:00:00"/>
        <d v="2008-09-21T00:00:00"/>
        <d v="2000-09-06T00:00:00"/>
        <d v="2006-10-27T00:00:00"/>
        <d v="2001-02-10T00:00:00"/>
        <d v="2005-01-31T00:00:00"/>
        <d v="2007-09-14T00:00:00"/>
        <d v="2001-06-16T00:00:00"/>
        <d v="2008-02-01T00:00:00"/>
        <d v="2001-03-19T00:00:00"/>
        <d v="2006-10-30T00:00:00"/>
        <d v="2002-01-13T00:00:00"/>
        <d v="2004-03-20T00:00:00"/>
        <d v="2000-08-03T00:00:00"/>
        <d v="2004-08-23T00:00:00"/>
        <d v="2005-11-28T00:00:00"/>
        <d v="2002-05-15T00:00:00"/>
        <d v="2001-12-20T00:00:00"/>
        <d v="2000-03-17T00:00:00"/>
        <d v="2004-07-17T00:00:00"/>
        <d v="2004-11-19T00:00:00"/>
        <d v="2008-09-26T00:00:00"/>
        <d v="2001-02-25T00:00:00"/>
        <d v="2008-06-17T00:00:00"/>
        <d v="2005-04-04T00:00:00"/>
        <d v="2000-06-03T00:00:00"/>
        <d v="2005-01-16T00:00:00"/>
        <d v="2003-11-07T00:00:00"/>
        <d v="2004-01-30T00:00:00"/>
        <d v="2001-01-22T00:00:00"/>
        <d v="2003-12-03T00:00:00"/>
        <d v="2007-03-31T00:00:00"/>
        <d v="2003-10-31T00:00:00"/>
        <d v="2005-09-10T00:00:00"/>
        <d v="2002-01-10T00:00:00"/>
        <d v="2008-06-08T00:00:00"/>
        <d v="2007-08-10T00:00:00"/>
        <d v="2002-10-21T00:00:00"/>
        <d v="2003-01-22T00:00:00"/>
        <d v="2004-08-26T00:00:00"/>
        <d v="2000-04-25T00:00:00"/>
        <d v="2008-07-05T00:00:00"/>
        <d v="2006-02-25T00:00:00"/>
        <d v="2002-09-03T00:00:00"/>
        <d v="2004-10-24T00:00:00"/>
        <d v="2000-10-04T00:00:00"/>
        <d v="2004-03-09T00:00:00"/>
        <d v="2001-06-30T00:00:00"/>
        <d v="2000-09-15T00:00:00"/>
        <d v="2003-06-24T00:00:00"/>
        <d v="2008-10-03T00:00:00"/>
        <d v="2003-10-20T00:00:00"/>
        <d v="2006-10-03T00:00:00"/>
        <d v="2003-06-09T00:00:00"/>
        <d v="2003-01-29T00:00:00"/>
        <d v="2000-05-22T00:00:00"/>
        <d v="2007-08-13T00:00:00"/>
        <d v="2007-04-14T00:00:00"/>
        <d v="2002-12-08T00:00:00"/>
        <d v="2000-10-30T00:00:00"/>
        <d v="2003-05-13T00:00:00"/>
        <d v="2008-11-11T00:00:00"/>
        <d v="2000-09-26T00:00:00"/>
        <d v="2007-03-16T00:00:00"/>
        <d v="2007-12-15T00:00:00"/>
        <d v="2001-05-27T00:00:00"/>
        <d v="2006-04-27T00:00:00"/>
        <d v="2005-08-01T00:00:00"/>
        <d v="2000-10-25T00:00:00"/>
        <d v="2006-10-20T00:00:00"/>
        <d v="2003-07-31T00:00:00"/>
        <d v="2003-04-03T00:00:00"/>
        <d v="2005-10-09T00:00:00"/>
        <d v="2002-09-13T00:00:00"/>
        <d v="2003-03-16T00:00:00"/>
        <d v="2000-07-04T00:00:00"/>
        <d v="2005-08-27T00:00:00"/>
        <d v="2006-04-03T00:00:00"/>
        <d v="2008-01-01T00:00:00"/>
        <d v="2001-10-27T00:00:00"/>
        <d v="2003-09-18T00:00:00"/>
        <d v="2008-02-02T00:00:00"/>
        <d v="2002-02-20T00:00:00"/>
        <d v="2008-04-01T00:00:00"/>
        <d v="2003-07-09T00:00:00"/>
        <d v="2003-02-16T00:00:00"/>
        <d v="2003-11-29T00:00:00"/>
        <d v="2000-06-21T00:00:00"/>
        <d v="2006-04-21T00:00:00"/>
        <d v="2007-02-26T00:00:00"/>
        <d v="2006-03-04T00:00:00"/>
        <d v="2007-03-30T00:00:00"/>
        <d v="2004-06-14T00:00:00"/>
        <d v="2003-10-04T00:00:00"/>
        <d v="2001-04-06T00:00:00"/>
        <d v="2001-12-19T00:00:00"/>
        <d v="2001-07-29T00:00:00"/>
        <d v="2003-09-12T00:00:00"/>
        <d v="2005-03-21T00:00:00"/>
        <d v="2002-06-16T00:00:00"/>
        <d v="2008-07-17T00:00:00"/>
        <d v="2006-06-03T00:00:00"/>
        <d v="2001-01-07T00:00:00"/>
        <d v="2006-04-07T00:00:00"/>
        <d v="2004-08-01T00:00:00"/>
        <d v="2007-08-28T00:00:00"/>
        <d v="2008-02-29T00:00:00"/>
        <d v="2005-03-01T00:00:00"/>
        <d v="2002-09-12T00:00:00"/>
        <d v="2004-12-02T00:00:00"/>
        <d v="2006-06-23T00:00:00"/>
        <d v="2007-10-23T00:00:00"/>
        <d v="2003-05-16T00:00:00"/>
        <d v="2002-11-10T00:00:00"/>
        <d v="2004-03-24T00:00:00"/>
        <d v="2000-03-03T00:00:00"/>
        <d v="2008-09-11T00:00:00"/>
        <d v="2005-03-23T00:00:00"/>
        <d v="2008-04-24T00:00:00"/>
        <d v="2002-07-31T00:00:00"/>
        <d v="2001-11-20T00:00:00"/>
        <d v="2000-10-31T00:00:00"/>
        <d v="2002-06-14T00:00:00"/>
        <d v="2000-02-18T00:00:00"/>
        <d v="2001-01-29T00:00:00"/>
        <d v="2004-03-08T00:00:00"/>
        <d v="2004-07-18T00:00:00"/>
        <d v="2004-11-12T00:00:00"/>
        <d v="2003-01-15T00:00:00"/>
        <d v="2006-08-01T00:00:00"/>
        <d v="2004-04-21T00:00:00"/>
        <d v="2000-11-07T00:00:00"/>
        <d v="2006-03-15T00:00:00"/>
        <d v="2000-12-02T00:00:00"/>
        <d v="2000-01-22T00:00:00"/>
        <d v="2005-01-12T00:00:00"/>
        <d v="2006-09-11T00:00:00"/>
        <d v="2006-05-31T00:00:00"/>
        <d v="2001-08-20T00:00:00"/>
        <d v="2002-10-27T00:00:00"/>
        <d v="2003-09-22T00:00:00"/>
        <d v="2006-10-06T00:00:00"/>
        <d v="2006-06-16T00:00:00"/>
        <d v="2006-08-22T00:00:00"/>
        <d v="2008-12-03T00:00:00"/>
        <d v="2008-11-06T00:00:00"/>
        <d v="2001-03-23T00:00:00"/>
        <d v="2000-02-13T00:00:00"/>
        <d v="2008-08-29T00:00:00"/>
        <d v="2005-11-04T00:00:00"/>
        <d v="2000-07-02T00:00:00"/>
        <d v="2006-03-10T00:00:00"/>
        <d v="2007-03-08T00:00:00"/>
        <d v="2007-11-26T00:00:00"/>
        <d v="2005-02-17T00:00:00"/>
        <d v="2003-11-26T00:00:00"/>
        <d v="2004-09-28T00:00:00"/>
        <d v="2003-07-12T00:00:00"/>
        <d v="2006-04-19T00:00:00"/>
        <d v="2006-05-04T00:00:00"/>
        <d v="2006-05-05T00:00:00"/>
        <d v="2006-01-29T00:00:00"/>
        <d v="2000-05-12T00:00:00"/>
        <d v="2007-12-21T00:00:00"/>
        <d v="2005-12-20T00:00:00"/>
        <d v="2001-07-09T00:00:00"/>
        <d v="2002-10-10T00:00:00"/>
        <d v="2007-02-08T00:00:00"/>
        <d v="2006-07-11T00:00:00"/>
        <d v="2005-07-19T00:00:00"/>
        <d v="2001-02-11T00:00:00"/>
        <d v="2002-04-08T00:00:00"/>
        <d v="2004-03-03T00:00:00"/>
        <d v="2000-01-05T00:00:00"/>
        <d v="2001-05-08T00:00:00"/>
        <d v="2001-02-26T00:00:00"/>
        <d v="2006-11-04T00:00:00"/>
        <d v="2002-06-08T00:00:00"/>
        <d v="2002-10-11T00:00:00"/>
        <d v="2008-05-21T00:00:00"/>
        <d v="2004-02-05T00:00:00"/>
        <d v="2000-06-12T00:00:00"/>
        <d v="2001-09-28T00:00:00"/>
        <d v="2002-09-28T00:00:00"/>
        <d v="2007-12-09T00:00:00"/>
        <d v="2008-05-29T00:00:00"/>
        <d v="2002-12-13T00:00:00"/>
        <d v="2004-02-15T00:00:00"/>
        <d v="2002-07-08T00:00:00"/>
        <d v="2002-01-04T00:00:00"/>
        <d v="2000-12-19T00:00:00"/>
        <d v="2005-03-15T00:00:00"/>
        <d v="2002-08-12T00:00:00"/>
        <d v="2005-12-10T00:00:00"/>
        <d v="2005-10-29T00:00:00"/>
        <d v="2004-11-16T00:00:00"/>
        <d v="2005-01-28T00:00:00"/>
        <d v="2005-01-15T00:00:00"/>
        <d v="2002-12-21T00:00:00"/>
        <d v="2001-01-08T00:00:00"/>
        <d v="2000-11-03T00:00:00"/>
        <d v="2005-03-03T00:00:00"/>
        <d v="2001-12-08T00:00:00"/>
        <d v="2007-04-05T00:00:00"/>
        <d v="2001-07-16T00:00:00"/>
        <d v="2003-11-10T00:00:00"/>
        <d v="2002-10-12T00:00:00"/>
        <d v="2001-12-22T00:00:00"/>
        <d v="2000-01-03T00:00:00"/>
        <d v="2006-07-30T00:00:00"/>
        <d v="2003-10-10T00:00:00"/>
        <d v="2002-07-03T00:00:00"/>
        <d v="2007-11-15T00:00:00"/>
        <d v="2005-07-25T00:00:00"/>
        <d v="2005-01-03T00:00:00"/>
        <d v="2000-07-16T00:00:00"/>
        <d v="2001-02-19T00:00:00"/>
        <d v="2000-03-23T00:00:00"/>
        <d v="2006-02-18T00:00:00"/>
        <d v="2001-10-05T00:00:00"/>
        <d v="2002-08-30T00:00:00"/>
        <d v="2004-10-17T00:00:00"/>
        <d v="2000-12-01T00:00:00"/>
        <d v="2002-01-27T00:00:00"/>
        <d v="2002-12-14T00:00:00"/>
        <d v="2008-06-25T00:00:00"/>
        <d v="2005-05-04T00:00:00"/>
        <d v="2002-05-17T00:00:00"/>
        <d v="2006-09-03T00:00:00"/>
        <d v="2000-02-20T00:00:00"/>
        <d v="2001-03-08T00:00:00"/>
        <d v="2006-06-01T00:00:00"/>
        <d v="2000-06-07T00:00:00"/>
        <d v="2008-11-24T00:00:00"/>
        <d v="2008-09-05T00:00:00"/>
        <d v="2008-04-22T00:00:00"/>
        <d v="2000-05-15T00:00:00"/>
        <d v="2007-02-15T00:00:00"/>
        <d v="2006-07-31T00:00:00"/>
        <d v="2000-07-22T00:00:00"/>
        <d v="2008-10-01T00:00:00"/>
        <d v="2007-12-29T00:00:00"/>
        <d v="2003-05-22T00:00:00"/>
        <d v="2003-05-07T00:00:00"/>
        <d v="2007-05-11T00:00:00"/>
        <d v="2003-11-06T00:00:00"/>
        <d v="2003-04-18T00:00:00"/>
        <d v="2005-04-11T00:00:00"/>
        <d v="2004-08-19T00:00:00"/>
        <d v="2008-01-10T00:00:00"/>
        <d v="2003-01-25T00:00:00"/>
        <d v="2007-02-07T00:00:00"/>
        <d v="2008-03-11T00:00:00"/>
        <d v="2007-10-11T00:00:00"/>
        <d v="2000-07-06T00:00:00"/>
        <d v="2004-01-11T00:00:00"/>
        <d v="2008-03-25T00:00:00"/>
        <d v="2008-08-25T00:00:00"/>
        <d v="2004-04-06T00:00:00"/>
        <d v="2007-06-03T00:00:00"/>
        <d v="2008-10-19T00:00:00"/>
        <d v="2001-10-18T00:00:00"/>
        <d v="2007-07-14T00:00:00"/>
        <d v="2007-03-24T00:00:00"/>
        <d v="2003-04-05T00:00:00"/>
        <d v="2003-09-08T00:00:00"/>
        <d v="2004-06-27T00:00:00"/>
        <d v="2001-10-14T00:00:00"/>
        <d v="2007-09-04T00:00:00"/>
        <d v="2002-12-07T00:00:00"/>
        <d v="2005-05-27T00:00:00"/>
        <d v="2005-07-23T00:00:00"/>
        <d v="2005-09-07T00:00:00"/>
        <d v="2000-12-26T00:00:00"/>
        <d v="2004-08-15T00:00:00"/>
        <d v="2004-01-28T00:00:00"/>
        <d v="2001-02-03T00:00:00"/>
        <d v="2001-11-03T00:00:00"/>
        <d v="2002-06-02T00:00:00"/>
        <d v="2007-05-21T00:00:00"/>
        <d v="2005-09-13T00:00:00"/>
        <d v="2005-08-26T00:00:00"/>
        <d v="2007-09-13T00:00:00"/>
        <d v="2006-07-15T00:00:00"/>
        <d v="2001-08-18T00:00:00"/>
        <d v="2007-09-29T00:00:00"/>
        <d v="2008-04-28T00:00:00"/>
        <d v="2008-11-02T00:00:00"/>
        <d v="2002-07-12T00:00:00"/>
        <d v="2006-03-29T00:00:00"/>
        <d v="2002-01-23T00:00:00"/>
        <d v="2002-05-23T00:00:00"/>
        <d v="2001-04-14T00:00:00"/>
        <d v="2004-04-29T00:00:00"/>
        <d v="2007-04-22T00:00:00"/>
        <d v="2007-07-08T00:00:00"/>
        <d v="2005-02-23T00:00:00"/>
        <d v="2006-06-13T00:00:00"/>
        <d v="2000-03-10T00:00:00"/>
        <d v="2003-04-02T00:00:00"/>
        <d v="2001-10-02T00:00:00"/>
        <d v="2006-03-17T00:00:00"/>
        <d v="2003-06-02T00:00:00"/>
        <d v="2002-03-06T00:00:00"/>
        <d v="2001-02-06T00:00:00"/>
        <d v="2006-12-12T00:00:00"/>
        <d v="2007-12-27T00:00:00"/>
        <d v="2004-01-09T00:00:00"/>
        <d v="2006-01-15T00:00:00"/>
        <d v="2000-05-30T00:00:00"/>
        <d v="2008-08-28T00:00:00"/>
        <d v="2008-04-02T00:00:00"/>
        <d v="2004-02-22T00:00:00"/>
        <d v="2005-06-17T00:00:00"/>
        <d v="2005-10-08T00:00:00"/>
        <d v="2007-05-31T00:00:00"/>
        <d v="2006-06-02T00:00:00"/>
        <d v="2002-06-06T00:00:00"/>
        <d v="2006-12-27T00:00:00"/>
        <d v="2004-04-27T00:00:00"/>
        <d v="2006-11-23T00:00:00"/>
        <d v="2008-09-08T00:00:00"/>
        <d v="2008-11-08T00:00:00"/>
        <d v="2008-08-02T00:00:00"/>
        <d v="2006-06-25T00:00:00"/>
        <d v="2001-03-12T00:00:00"/>
        <d v="2007-08-19T00:00:00"/>
        <d v="2002-11-05T00:00:00"/>
        <d v="2001-02-14T00:00:00"/>
        <d v="2008-02-15T00:00:00"/>
        <d v="2002-04-06T00:00:00"/>
        <d v="2002-09-06T00:00:00"/>
        <d v="2006-07-28T00:00:00"/>
        <d v="2002-07-15T00:00:00"/>
        <d v="2006-04-25T00:00:00"/>
        <d v="2003-03-22T00:00:00"/>
        <d v="2006-06-07T00:00:00"/>
        <d v="2002-07-27T00:00:00"/>
        <d v="2008-07-27T00:00:00"/>
        <d v="2005-07-03T00:00:00"/>
        <d v="2005-05-13T00:00:00"/>
        <d v="2003-07-16T00:00:00"/>
        <d v="2002-02-05T00:00:00"/>
        <d v="2004-10-02T00:00:00"/>
        <d v="2008-12-20T00:00:00"/>
        <d v="2008-10-21T00:00:00"/>
        <d v="2002-06-01T00:00:00"/>
        <d v="2006-04-14T00:00:00"/>
        <d v="2006-06-20T00:00:00"/>
        <d v="2004-04-09T00:00:00"/>
        <d v="2000-10-19T00:00:00"/>
        <d v="2003-01-16T00:00:00"/>
        <d v="2000-09-18T00:00:00"/>
        <d v="2006-12-06T00:00:00"/>
        <d v="2001-06-21T00:00:00"/>
        <d v="2006-02-24T00:00:00"/>
        <d v="2006-01-19T00:00:00"/>
        <d v="2003-05-12T00:00:00"/>
        <d v="2004-06-04T00:00:00"/>
        <d v="2005-10-17T00:00:00"/>
        <d v="2001-07-13T00:00:00"/>
        <d v="2001-09-15T00:00:00"/>
        <d v="2008-02-26T00:00:00"/>
        <d v="2003-06-30T00:00:00"/>
        <d v="2002-12-27T00:00:00"/>
        <d v="2000-02-21T00:00:00"/>
        <d v="2002-11-03T00:00:00"/>
        <d v="2003-08-22T00:00:00"/>
        <d v="2006-07-08T00:00:00"/>
        <d v="2007-09-10T00:00:00"/>
        <d v="2002-10-23T00:00:00"/>
        <d v="2006-02-04T00:00:00"/>
        <d v="2008-09-13T00:00:00"/>
        <d v="2006-11-16T00:00:00"/>
        <d v="2007-05-18T00:00:00"/>
        <d v="2007-05-09T00:00:00"/>
        <d v="2005-12-06T00:00:00"/>
        <d v="2002-02-15T00:00:00"/>
        <d v="2007-07-25T00:00:00"/>
        <d v="2003-12-14T00:00:00"/>
        <d v="2000-01-01T00:00:00"/>
        <d v="2002-05-29T00:00:00"/>
        <d v="2001-10-01T00:00:00"/>
        <d v="2006-05-25T00:00:00"/>
        <d v="2006-09-04T00:00:00"/>
        <d v="2004-11-13T00:00:00"/>
        <d v="2008-06-10T00:00:00"/>
        <d v="2001-06-25T00:00:00"/>
        <d v="2005-08-17T00:00:00"/>
        <d v="2006-04-17T00:00:00"/>
        <d v="2001-04-05T00:00:00"/>
        <d v="2008-08-18T00:00:00"/>
        <d v="2007-09-08T00:00:00"/>
        <d v="2002-04-14T00:00:00"/>
        <d v="2002-11-12T00:00:00"/>
        <d v="2006-04-15T00:00:00"/>
        <d v="2000-03-16T00:00:00"/>
        <d v="2000-04-30T00:00:00"/>
        <d v="2005-11-02T00:00:00"/>
        <d v="2005-01-13T00:00:00"/>
        <d v="2004-10-27T00:00:00"/>
        <d v="2001-08-19T00:00:00"/>
        <d v="2002-08-03T00:00:00"/>
        <d v="2004-05-06T00:00:00"/>
        <d v="2003-01-10T00:00:00"/>
        <d v="2007-09-18T00:00:00"/>
        <d v="2006-11-09T00:00:00"/>
        <d v="2002-10-03T00:00:00"/>
        <d v="2004-06-18T00:00:00"/>
        <d v="2007-09-27T00:00:00"/>
        <d v="2004-05-29T00:00:00"/>
        <d v="2008-02-25T00:00:00"/>
        <d v="2001-10-26T00:00:00"/>
        <d v="2007-01-09T00:00:00"/>
        <d v="2005-08-04T00:00:00"/>
        <d v="2000-11-21T00:00:00"/>
        <d v="2000-08-13T00:00:00"/>
        <d v="2001-03-22T00:00:00"/>
        <d v="2008-08-13T00:00:00"/>
        <d v="2001-07-05T00:00:00"/>
        <d v="2001-06-15T00:00:00"/>
        <d v="2007-12-12T00:00:00"/>
        <d v="2004-08-22T00:00:00"/>
        <d v="2008-11-10T00:00:00"/>
        <d v="2004-06-10T00:00:00"/>
        <d v="2008-12-09T00:00:00"/>
        <d v="2001-09-03T00:00:00"/>
        <d v="2004-03-02T00:00:00"/>
        <d v="2008-09-20T00:00:00"/>
        <d v="2005-06-03T00:00:00"/>
        <d v="2005-02-24T00:00:00"/>
        <d v="2000-07-07T00:00:00"/>
        <d v="2003-03-19T00:00:00"/>
        <d v="2001-04-13T00:00:00"/>
        <d v="2007-11-25T00:00:00"/>
        <d v="2006-01-23T00:00:00"/>
        <d v="2000-12-18T00:00:00"/>
        <d v="2008-06-22T00:00:00"/>
        <d v="2003-12-10T00:00:00"/>
        <d v="2003-08-27T00:00:00"/>
        <d v="2006-02-22T00:00:00"/>
        <d v="2004-12-28T00:00:00"/>
        <d v="2001-01-05T00:00:00"/>
        <d v="2004-05-16T00:00:00"/>
        <d v="2004-11-15T00:00:00"/>
        <d v="2004-02-21T00:00:00"/>
        <d v="2004-11-03T00:00:00"/>
        <d v="2007-06-06T00:00:00"/>
        <d v="2007-07-07T00:00:00"/>
        <d v="2000-12-12T00:00:00"/>
        <d v="2004-04-24T00:00:00"/>
        <d v="2004-08-09T00:00:00"/>
        <d v="2006-07-04T00:00:00"/>
        <d v="2002-10-01T00:00:00"/>
        <d v="2001-11-17T00:00:00"/>
        <d v="2007-05-12T00:00:00"/>
        <d v="2007-05-23T00:00:00"/>
        <d v="2003-11-05T00:00:00"/>
        <d v="2002-05-13T00:00:00"/>
        <d v="2005-12-12T00:00:00"/>
        <d v="2001-02-02T00:00:00"/>
        <d v="2006-02-21T00:00:00"/>
        <d v="2002-06-17T00:00:00"/>
        <d v="2006-09-21T00:00:00"/>
        <d v="2008-10-02T00:00:00"/>
        <d v="2001-12-29T00:00:00"/>
        <d v="2000-10-15T00:00:00"/>
        <d v="2008-02-28T00:00:00"/>
        <d v="2003-09-27T00:00:00"/>
        <d v="2008-07-11T00:00:00"/>
        <d v="2001-03-13T00:00:00"/>
        <d v="2000-04-13T00:00:00"/>
        <d v="2000-03-08T00:00:00"/>
        <d v="2007-08-09T00:00:00"/>
        <d v="2007-05-02T00:00:00"/>
        <d v="2003-08-10T00:00:00"/>
        <d v="2008-06-29T00:00:00"/>
        <d v="2000-12-31T00:00:00"/>
        <d v="2004-08-14T00:00:00"/>
        <d v="2000-01-19T00:00:00"/>
        <d v="2003-02-06T00:00:00"/>
        <d v="2000-08-09T00:00:00"/>
        <d v="2000-06-26T00:00:00"/>
        <d v="2000-10-17T00:00:00"/>
        <d v="2008-09-25T00:00:00"/>
        <d v="2000-10-28T00:00:00"/>
        <d v="2001-12-30T00:00:00"/>
        <d v="2001-06-05T00:00:00"/>
        <d v="2001-12-02T00:00:00"/>
        <d v="2005-11-07T00:00:00"/>
        <d v="2003-09-02T00:00:00"/>
        <d v="2008-03-23T00:00:00"/>
        <d v="2007-04-06T00:00:00"/>
        <d v="2008-08-27T00:00:00"/>
        <d v="2000-07-30T00:00:00"/>
        <d v="2008-06-11T00:00:00"/>
        <d v="2004-03-07T00:00:00"/>
        <d v="2000-11-11T00:00:00"/>
        <d v="2003-04-15T00:00:00"/>
        <d v="2002-02-13T00:00:00"/>
        <d v="2006-08-27T00:00:00"/>
        <d v="2005-02-10T00:00:00"/>
        <d v="2001-04-23T00:00:00"/>
        <d v="2006-04-22T00:00:00"/>
        <d v="2005-12-25T00:00:00"/>
        <d v="2000-01-18T00:00:00"/>
        <d v="2008-12-19T00:00:00"/>
        <d v="2003-06-15T00:00:00"/>
        <d v="2006-07-17T00:00:00"/>
        <d v="2002-03-07T00:00:00"/>
        <d v="2006-08-02T00:00:00"/>
        <d v="2000-12-28T00:00:00"/>
        <d v="2004-04-12T00:00:00"/>
        <d v="2002-11-29T00:00:00"/>
        <d v="2000-08-04T00:00:00"/>
        <d v="2005-10-05T00:00:00"/>
        <d v="2001-01-27T00:00:00"/>
        <d v="2004-09-05T00:00:00"/>
        <d v="2001-07-23T00:00:00"/>
        <d v="2001-06-11T00:00:00"/>
        <d v="2007-09-30T00:00:00"/>
        <d v="2000-05-14T00:00:00"/>
        <d v="2007-06-27T00:00:00"/>
        <d v="2001-02-09T00:00:00"/>
        <d v="2008-02-19T00:00:00"/>
        <d v="2003-12-24T00:00:00"/>
        <d v="2005-07-15T00:00:00"/>
        <d v="2007-07-15T00:00:00"/>
        <d v="2007-10-17T00:00:00"/>
        <d v="2001-05-17T00:00:00"/>
        <d v="2005-06-07T00:00:00"/>
        <d v="2004-04-16T00:00:00"/>
        <d v="2001-05-02T00:00:00"/>
        <d v="2006-03-30T00:00:00"/>
        <d v="2008-07-26T00:00:00"/>
        <d v="2004-05-22T00:00:00"/>
        <d v="2001-06-09T00:00:00"/>
        <d v="2003-11-14T00:00:00"/>
        <d v="2007-09-19T00:00:00"/>
        <d v="2003-07-20T00:00:00"/>
        <d v="2005-07-27T00:00:00"/>
        <d v="2006-01-03T00:00:00"/>
        <d v="2008-01-18T00:00:00"/>
        <d v="2003-11-23T00:00:00"/>
        <d v="2004-07-05T00:00:00"/>
        <d v="2002-05-22T00:00:00"/>
        <d v="2001-08-28T00:00:00"/>
        <d v="2002-12-29T00:00:00"/>
        <d v="2002-02-25T00:00:00"/>
        <d v="2000-08-14T00:00:00"/>
        <d v="2008-02-14T00:00:00"/>
        <d v="2006-09-22T00:00:00"/>
        <d v="2007-11-05T00:00:00"/>
        <d v="2003-06-20T00:00:00"/>
        <d v="2008-11-07T00:00:00"/>
        <d v="2008-07-18T00:00:00"/>
        <d v="2008-03-30T00:00:00"/>
        <d v="2002-01-15T00:00:00"/>
        <d v="2002-03-23T00:00:00"/>
        <d v="2001-11-27T00:00:00"/>
        <d v="2006-09-23T00:00:00"/>
        <d v="2003-08-17T00:00:00"/>
        <d v="2000-08-01T00:00:00"/>
        <d v="2003-05-24T00:00:00"/>
        <d v="2003-10-21T00:00:00"/>
        <d v="2003-07-07T00:00:00"/>
        <d v="2005-10-18T00:00:00"/>
        <d v="2001-04-20T00:00:00"/>
        <d v="2008-01-27T00:00:00"/>
        <d v="2002-10-05T00:00:00"/>
        <d v="2007-01-17T00:00:00"/>
        <d v="2008-12-27T00:00:00"/>
        <d v="2007-04-04T00:00:00"/>
        <d v="2004-01-10T00:00:00"/>
        <d v="2003-01-04T00:00:00"/>
        <d v="2000-06-14T00:00:00"/>
        <d v="2004-11-26T00:00:00"/>
        <d v="2003-04-25T00:00:00"/>
        <d v="2005-03-18T00:00:00"/>
        <d v="2002-01-05T00:00:00"/>
        <d v="2007-07-21T00:00:00"/>
        <d v="2007-05-10T00:00:00"/>
        <d v="2007-04-10T00:00:00"/>
        <d v="2005-04-25T00:00:00"/>
        <d v="2007-01-26T00:00:00"/>
        <d v="2005-10-03T00:00:00"/>
        <d v="2003-01-02T00:00:00"/>
        <d v="2001-10-22T00:00:00"/>
        <d v="2006-10-02T00:00:00"/>
        <d v="2006-12-22T00:00:00"/>
        <d v="2001-02-17T00:00:00"/>
        <d v="2008-08-20T00:00:00"/>
        <d v="2001-03-09T00:00:00"/>
        <d v="2001-07-18T00:00:00"/>
        <d v="2005-08-30T00:00:00"/>
        <d v="2008-10-29T00:00:00"/>
        <d v="2008-02-03T00:00:00"/>
        <d v="2006-02-07T00:00:00"/>
        <d v="2005-11-05T00:00:00"/>
        <d v="2008-03-17T00:00:00"/>
        <d v="2003-05-05T00:00:00"/>
        <d v="2007-06-24T00:00:00"/>
        <d v="2008-09-23T00:00:00"/>
        <d v="2004-10-06T00:00:00"/>
        <d v="2006-08-06T00:00:00"/>
        <d v="2001-10-29T00:00:00"/>
        <d v="2005-04-22T00:00:00"/>
        <d v="2006-05-30T00:00:00"/>
        <d v="2003-04-19T00:00:00"/>
        <d v="2002-01-19T00:00:00"/>
        <d v="2006-06-05T00:00:00"/>
        <d v="2008-07-16T00:00:00"/>
        <d v="2001-05-07T00:00:00"/>
        <d v="2002-01-09T00:00:00"/>
        <d v="2006-01-28T00:00:00"/>
        <d v="2007-08-11T00:00:00"/>
        <d v="2003-08-03T00:00:00"/>
        <d v="2008-06-07T00:00:00"/>
        <d v="2006-03-19T00:00:00"/>
        <d v="2007-02-17T00:00:00"/>
        <d v="2000-06-20T00:00:00"/>
        <d v="2007-08-17T00:00:00"/>
        <d v="2007-08-25T00:00:00"/>
        <d v="2006-03-26T00:00:00"/>
        <d v="2003-12-16T00:00:00"/>
        <d v="2002-03-01T00:00:00"/>
        <d v="2008-01-19T00:00:00"/>
        <d v="2000-01-30T00:00:00"/>
        <d v="2000-09-24T00:00:00"/>
        <d v="2007-10-09T00:00:00"/>
        <d v="2004-11-06T00:00:00"/>
        <d v="2003-10-02T00:00:00"/>
        <d v="2003-09-10T00:00:00"/>
        <d v="2002-10-22T00:00:00"/>
        <d v="2005-02-02T00:00:00"/>
        <d v="2006-08-25T00:00:00"/>
        <d v="2002-01-31T00:00:00"/>
        <d v="2003-06-28T00:00:00"/>
        <d v="2000-02-03T00:00:00"/>
        <d v="2002-03-31T00:00:00"/>
        <d v="2006-06-27T00:00:00"/>
        <d v="2005-07-24T00:00:00"/>
        <d v="2008-04-19T00:00:00"/>
        <d v="2000-05-02T00:00:00"/>
        <d v="2002-03-26T00:00:00"/>
        <d v="2007-12-22T00:00:00"/>
        <d v="2000-08-06T00:00:00"/>
        <d v="2001-11-16T00:00:00"/>
        <d v="2005-11-22T00:00:00"/>
        <d v="2002-04-11T00:00:00"/>
        <d v="2004-03-12T00:00:00"/>
        <d v="2004-08-02T00:00:00"/>
        <d v="2002-12-23T00:00:00"/>
        <d v="2008-10-12T00:00:00"/>
        <d v="2002-02-08T00:00:00"/>
        <d v="2003-06-05T00:00:00"/>
        <d v="2008-07-21T00:00:00"/>
        <d v="2006-05-16T00:00:00"/>
        <d v="2002-02-10T00:00:00"/>
        <d v="2007-07-27T00:00:00"/>
        <d v="2003-03-08T00:00:00"/>
        <d v="2001-12-04T00:00:00"/>
        <d v="2004-05-12T00:00:00"/>
        <d v="2006-08-03T00:00:00"/>
        <d v="2004-06-23T00:00:00"/>
        <d v="2008-04-07T00:00:00"/>
        <d v="2001-10-08T00:00:00"/>
        <d v="2004-02-19T00:00:00"/>
        <d v="2004-06-12T00:00:00"/>
        <d v="2000-10-06T00:00:00"/>
        <d v="2000-03-14T00:00:00"/>
        <d v="2007-08-06T00:00:00"/>
        <d v="2004-12-15T00:00:00"/>
        <d v="2000-07-18T00:00:00"/>
        <d v="2004-09-23T00:00:00"/>
        <d v="2000-06-29T00:00:00"/>
        <d v="2004-10-18T00:00:00"/>
        <d v="2000-06-28T00:00:00"/>
        <d v="2000-03-13T00:00:00"/>
        <d v="2003-06-19T00:00:00"/>
        <d v="2002-04-07T00:00:00"/>
        <d v="2003-07-24T00:00:00"/>
        <d v="2002-09-19T00:00:00"/>
        <d v="2007-01-23T00:00:00"/>
        <d v="2001-01-10T00:00:00"/>
        <d v="2007-02-16T00:00:00"/>
        <d v="2004-12-12T00:00:00"/>
        <d v="2001-09-25T00:00:00"/>
        <d v="2006-10-15T00:00:00"/>
        <d v="2004-06-16T00:00:00"/>
        <d v="2007-10-04T00:00:00"/>
        <d v="2001-08-07T00:00:00"/>
        <d v="2000-10-13T00:00:00"/>
        <d v="2002-02-02T00:00:00"/>
        <d v="2002-01-30T00:00:00"/>
        <d v="2007-02-19T00:00:00"/>
        <d v="2000-05-01T00:00:00"/>
        <d v="2007-06-18T00:00:00"/>
        <d v="2008-06-27T00:00:00"/>
        <d v="2004-03-30T00:00:00"/>
        <d v="2000-04-15T00:00:00"/>
        <d v="2005-10-10T00:00:00"/>
        <d v="2002-08-14T00:00:00"/>
        <d v="2007-07-19T00:00:00"/>
        <d v="2001-11-29T00:00:00"/>
        <d v="2002-06-21T00:00:00"/>
        <d v="2006-06-17T00:00:00"/>
        <d v="2001-04-18T00:00:00"/>
        <d v="2004-05-08T00:00:00"/>
        <d v="2003-07-18T00:00:00"/>
        <d v="2006-09-19T00:00:00"/>
        <d v="2007-11-24T00:00:00"/>
        <d v="2008-02-27T00:00:00"/>
        <d v="2008-06-30T00:00:00"/>
        <d v="2004-12-14T00:00:00"/>
        <d v="2008-02-21T00:00:00"/>
        <d v="2003-12-27T00:00:00"/>
        <d v="2000-05-19T00:00:00"/>
        <d v="2007-04-17T00:00:00"/>
        <d v="2005-06-26T00:00:00"/>
        <d v="2004-01-29T00:00:00"/>
        <d v="2002-12-03T00:00:00"/>
        <d v="2000-10-16T00:00:00"/>
        <d v="2004-04-01T00:00:00"/>
        <d v="2007-03-07T00:00:00"/>
        <d v="2007-11-09T00:00:00"/>
        <d v="2007-05-17T00:00:00"/>
        <d v="2007-12-04T00:00:00"/>
        <d v="2001-01-18T00:00:00"/>
        <d v="2005-05-18T00:00:00"/>
        <d v="2007-11-17T00:00:00"/>
        <d v="2001-12-17T00:00:00"/>
        <d v="2000-08-23T00:00:00"/>
        <d v="2008-02-07T00:00:00"/>
        <d v="2005-12-07T00:00:00"/>
        <d v="2001-03-29T00:00:00"/>
        <d v="2007-06-21T00:00:00"/>
        <d v="2008-06-03T00:00:00"/>
        <d v="2001-09-29T00:00:00"/>
        <d v="2004-11-14T00:00:00"/>
        <d v="2008-03-06T00:00:00"/>
      </sharedItems>
      <fieldGroup par="14" base="2">
        <rangePr groupBy="months" startDate="2000-01-01T00:00:00" endDate="2008-12-28T00:00:00"/>
        <groupItems count="14">
          <s v="&lt;01/01/20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/12/2008"/>
        </groupItems>
      </fieldGroup>
    </cacheField>
    <cacheField name="Age of Student" numFmtId="0">
      <sharedItems containsSemiMixedTypes="0" containsString="0" containsNumber="1" containsInteger="1" minValue="17" maxValue="26" count="10">
        <n v="19"/>
        <n v="20"/>
        <n v="18"/>
        <n v="23"/>
        <n v="24"/>
        <n v="25"/>
        <n v="22"/>
        <n v="26"/>
        <n v="21"/>
        <n v="17"/>
      </sharedItems>
    </cacheField>
    <cacheField name="City" numFmtId="0">
      <sharedItems count="15">
        <s v="Pune"/>
        <s v="Thane"/>
        <s v="Delhi"/>
        <s v="Aurangabad"/>
        <s v="Ratnagiri"/>
        <s v="Chennai"/>
        <s v="Bengaluru"/>
        <s v="Nagpur"/>
        <s v="Sangli"/>
        <s v="Kolhapur"/>
        <s v="Kolkata"/>
        <s v="Mumbai"/>
        <s v="Nashik"/>
        <s v="Hyderabad"/>
        <s v="Solapur"/>
      </sharedItems>
    </cacheField>
    <cacheField name="State" numFmtId="0">
      <sharedItems count="6">
        <s v="Maharashtra"/>
        <s v="Delhi"/>
        <s v="Tamil Nadu"/>
        <s v="Karnataka"/>
        <s v="West Bengal"/>
        <s v="Telangana"/>
      </sharedItems>
    </cacheField>
    <cacheField name="Category" numFmtId="0">
      <sharedItems count="5">
        <s v="EWS"/>
        <s v="OBC"/>
        <s v="General"/>
        <s v="SC"/>
        <s v="ST"/>
      </sharedItems>
    </cacheField>
    <cacheField name="Attempt_No" numFmtId="0">
      <sharedItems containsSemiMixedTypes="0" containsString="0" containsNumber="1" containsInteger="1" minValue="1" maxValue="4" count="4">
        <n v="1"/>
        <n v="4"/>
        <n v="2"/>
        <n v="3"/>
      </sharedItems>
    </cacheField>
    <cacheField name="Physics_Marks_180" numFmtId="0">
      <sharedItems containsSemiMixedTypes="0" containsString="0" containsNumber="1" containsInteger="1" minValue="30" maxValue="180"/>
    </cacheField>
    <cacheField name="Chemistry_Marks_180" numFmtId="0">
      <sharedItems containsSemiMixedTypes="0" containsString="0" containsNumber="1" containsInteger="1" minValue="30" maxValue="180"/>
    </cacheField>
    <cacheField name="Biology_Marks_360" numFmtId="0">
      <sharedItems containsSemiMixedTypes="0" containsString="0" containsNumber="1" containsInteger="1" minValue="60" maxValue="360"/>
    </cacheField>
    <cacheField name="Total_Marks_720" numFmtId="0">
      <sharedItems containsSemiMixedTypes="0" containsString="0" containsNumber="1" containsInteger="1" minValue="145" maxValue="673"/>
    </cacheField>
    <cacheField name="Exam_Year" numFmtId="0">
      <sharedItems containsSemiMixedTypes="0" containsString="0" containsNumber="1" containsInteger="1" minValue="2023" maxValue="2026" count="4">
        <n v="2023"/>
        <n v="2024"/>
        <n v="2026"/>
        <n v="2025"/>
      </sharedItems>
    </cacheField>
    <cacheField name="Quarters" numFmtId="0" databaseField="0">
      <fieldGroup base="2">
        <rangePr groupBy="quarters" startDate="2000-01-01T00:00:00" endDate="2008-12-28T00:00:00"/>
        <groupItems count="6">
          <s v="&lt;01/01/2000"/>
          <s v="Qtr1"/>
          <s v="Qtr2"/>
          <s v="Qtr3"/>
          <s v="Qtr4"/>
          <s v="&gt;28/12/2008"/>
        </groupItems>
      </fieldGroup>
    </cacheField>
    <cacheField name="Years" numFmtId="0" databaseField="0">
      <fieldGroup base="2">
        <rangePr groupBy="years" startDate="2000-01-01T00:00:00" endDate="2008-12-28T00:00:00"/>
        <groupItems count="11">
          <s v="&lt;01/01/2000"/>
          <s v="2000"/>
          <s v="2001"/>
          <s v="2002"/>
          <s v="2003"/>
          <s v="2004"/>
          <s v="2005"/>
          <s v="2006"/>
          <s v="2007"/>
          <s v="2008"/>
          <s v="&gt;28/12/200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NEET2024100001"/>
    <x v="0"/>
    <x v="0"/>
    <x v="0"/>
    <x v="0"/>
    <x v="0"/>
    <x v="0"/>
    <x v="0"/>
    <n v="36"/>
    <n v="100"/>
    <n v="185"/>
    <n v="321"/>
    <x v="0"/>
  </r>
  <r>
    <s v="NEET2024100002"/>
    <x v="0"/>
    <x v="1"/>
    <x v="1"/>
    <x v="1"/>
    <x v="0"/>
    <x v="0"/>
    <x v="0"/>
    <n v="38"/>
    <n v="37"/>
    <n v="107"/>
    <n v="182"/>
    <x v="1"/>
  </r>
  <r>
    <s v="NEET2026100003"/>
    <x v="1"/>
    <x v="2"/>
    <x v="2"/>
    <x v="2"/>
    <x v="1"/>
    <x v="1"/>
    <x v="0"/>
    <n v="169"/>
    <n v="137"/>
    <n v="172"/>
    <n v="478"/>
    <x v="2"/>
  </r>
  <r>
    <s v="NEET2023100004"/>
    <x v="0"/>
    <x v="3"/>
    <x v="3"/>
    <x v="3"/>
    <x v="0"/>
    <x v="2"/>
    <x v="1"/>
    <n v="69"/>
    <n v="85"/>
    <n v="232"/>
    <n v="386"/>
    <x v="3"/>
  </r>
  <r>
    <s v="NEET2023100005"/>
    <x v="1"/>
    <x v="4"/>
    <x v="3"/>
    <x v="4"/>
    <x v="0"/>
    <x v="0"/>
    <x v="0"/>
    <n v="97"/>
    <n v="41"/>
    <n v="295"/>
    <n v="433"/>
    <x v="3"/>
  </r>
  <r>
    <s v="NEET2023100006"/>
    <x v="0"/>
    <x v="5"/>
    <x v="0"/>
    <x v="4"/>
    <x v="0"/>
    <x v="3"/>
    <x v="2"/>
    <n v="122"/>
    <n v="177"/>
    <n v="158"/>
    <n v="457"/>
    <x v="0"/>
  </r>
  <r>
    <s v="NEET2026100007"/>
    <x v="1"/>
    <x v="6"/>
    <x v="4"/>
    <x v="5"/>
    <x v="2"/>
    <x v="3"/>
    <x v="2"/>
    <n v="55"/>
    <n v="127"/>
    <n v="202"/>
    <n v="384"/>
    <x v="3"/>
  </r>
  <r>
    <s v="NEET2024100008"/>
    <x v="0"/>
    <x v="7"/>
    <x v="4"/>
    <x v="2"/>
    <x v="1"/>
    <x v="4"/>
    <x v="1"/>
    <n v="98"/>
    <n v="48"/>
    <n v="147"/>
    <n v="293"/>
    <x v="3"/>
  </r>
  <r>
    <s v="NEET2023100009"/>
    <x v="0"/>
    <x v="8"/>
    <x v="0"/>
    <x v="6"/>
    <x v="3"/>
    <x v="3"/>
    <x v="0"/>
    <n v="172"/>
    <n v="86"/>
    <n v="226"/>
    <n v="484"/>
    <x v="2"/>
  </r>
  <r>
    <s v="NEET2024100010"/>
    <x v="1"/>
    <x v="9"/>
    <x v="3"/>
    <x v="0"/>
    <x v="0"/>
    <x v="4"/>
    <x v="1"/>
    <n v="84"/>
    <n v="175"/>
    <n v="221"/>
    <n v="480"/>
    <x v="1"/>
  </r>
  <r>
    <s v="NEET2025100011"/>
    <x v="1"/>
    <x v="10"/>
    <x v="3"/>
    <x v="7"/>
    <x v="0"/>
    <x v="3"/>
    <x v="1"/>
    <n v="93"/>
    <n v="173"/>
    <n v="335"/>
    <n v="601"/>
    <x v="1"/>
  </r>
  <r>
    <s v="NEET2023100012"/>
    <x v="0"/>
    <x v="11"/>
    <x v="5"/>
    <x v="8"/>
    <x v="0"/>
    <x v="4"/>
    <x v="2"/>
    <n v="156"/>
    <n v="53"/>
    <n v="84"/>
    <n v="293"/>
    <x v="0"/>
  </r>
  <r>
    <s v="NEET2023100013"/>
    <x v="0"/>
    <x v="12"/>
    <x v="6"/>
    <x v="1"/>
    <x v="0"/>
    <x v="3"/>
    <x v="3"/>
    <n v="149"/>
    <n v="165"/>
    <n v="188"/>
    <n v="502"/>
    <x v="0"/>
  </r>
  <r>
    <s v="NEET2025100014"/>
    <x v="0"/>
    <x v="13"/>
    <x v="3"/>
    <x v="1"/>
    <x v="0"/>
    <x v="3"/>
    <x v="0"/>
    <n v="70"/>
    <n v="146"/>
    <n v="61"/>
    <n v="277"/>
    <x v="1"/>
  </r>
  <r>
    <s v="NEET2023100015"/>
    <x v="1"/>
    <x v="14"/>
    <x v="5"/>
    <x v="9"/>
    <x v="0"/>
    <x v="2"/>
    <x v="1"/>
    <n v="71"/>
    <n v="168"/>
    <n v="331"/>
    <n v="570"/>
    <x v="0"/>
  </r>
  <r>
    <s v="NEET2024100016"/>
    <x v="0"/>
    <x v="15"/>
    <x v="6"/>
    <x v="10"/>
    <x v="4"/>
    <x v="4"/>
    <x v="0"/>
    <n v="108"/>
    <n v="91"/>
    <n v="89"/>
    <n v="288"/>
    <x v="0"/>
  </r>
  <r>
    <s v="NEET2024100017"/>
    <x v="1"/>
    <x v="16"/>
    <x v="2"/>
    <x v="8"/>
    <x v="0"/>
    <x v="1"/>
    <x v="1"/>
    <n v="62"/>
    <n v="62"/>
    <n v="303"/>
    <n v="427"/>
    <x v="1"/>
  </r>
  <r>
    <s v="NEET2026100018"/>
    <x v="0"/>
    <x v="17"/>
    <x v="2"/>
    <x v="3"/>
    <x v="0"/>
    <x v="1"/>
    <x v="2"/>
    <n v="132"/>
    <n v="125"/>
    <n v="284"/>
    <n v="541"/>
    <x v="0"/>
  </r>
  <r>
    <s v="NEET2024100019"/>
    <x v="0"/>
    <x v="18"/>
    <x v="3"/>
    <x v="11"/>
    <x v="0"/>
    <x v="2"/>
    <x v="0"/>
    <n v="180"/>
    <n v="171"/>
    <n v="177"/>
    <n v="528"/>
    <x v="1"/>
  </r>
  <r>
    <s v="NEET2024100020"/>
    <x v="1"/>
    <x v="19"/>
    <x v="7"/>
    <x v="10"/>
    <x v="4"/>
    <x v="1"/>
    <x v="1"/>
    <n v="38"/>
    <n v="114"/>
    <n v="96"/>
    <n v="248"/>
    <x v="1"/>
  </r>
  <r>
    <s v="NEET2024100021"/>
    <x v="1"/>
    <x v="20"/>
    <x v="2"/>
    <x v="10"/>
    <x v="4"/>
    <x v="1"/>
    <x v="1"/>
    <n v="176"/>
    <n v="177"/>
    <n v="302"/>
    <n v="655"/>
    <x v="0"/>
  </r>
  <r>
    <s v="NEET2026100022"/>
    <x v="1"/>
    <x v="21"/>
    <x v="5"/>
    <x v="2"/>
    <x v="1"/>
    <x v="2"/>
    <x v="0"/>
    <n v="140"/>
    <n v="120"/>
    <n v="276"/>
    <n v="536"/>
    <x v="0"/>
  </r>
  <r>
    <s v="NEET2024100023"/>
    <x v="0"/>
    <x v="22"/>
    <x v="6"/>
    <x v="6"/>
    <x v="3"/>
    <x v="1"/>
    <x v="1"/>
    <n v="116"/>
    <n v="57"/>
    <n v="187"/>
    <n v="360"/>
    <x v="2"/>
  </r>
  <r>
    <s v="NEET2026100024"/>
    <x v="0"/>
    <x v="23"/>
    <x v="4"/>
    <x v="3"/>
    <x v="0"/>
    <x v="0"/>
    <x v="0"/>
    <n v="148"/>
    <n v="93"/>
    <n v="98"/>
    <n v="339"/>
    <x v="0"/>
  </r>
  <r>
    <s v="NEET2026100025"/>
    <x v="1"/>
    <x v="24"/>
    <x v="5"/>
    <x v="10"/>
    <x v="4"/>
    <x v="4"/>
    <x v="2"/>
    <n v="90"/>
    <n v="72"/>
    <n v="268"/>
    <n v="430"/>
    <x v="0"/>
  </r>
  <r>
    <s v="NEET2026100026"/>
    <x v="1"/>
    <x v="25"/>
    <x v="5"/>
    <x v="1"/>
    <x v="0"/>
    <x v="0"/>
    <x v="1"/>
    <n v="30"/>
    <n v="129"/>
    <n v="195"/>
    <n v="354"/>
    <x v="2"/>
  </r>
  <r>
    <s v="NEET2023100027"/>
    <x v="1"/>
    <x v="26"/>
    <x v="5"/>
    <x v="12"/>
    <x v="0"/>
    <x v="2"/>
    <x v="0"/>
    <n v="105"/>
    <n v="85"/>
    <n v="89"/>
    <n v="279"/>
    <x v="2"/>
  </r>
  <r>
    <s v="NEET2023100028"/>
    <x v="0"/>
    <x v="27"/>
    <x v="8"/>
    <x v="10"/>
    <x v="4"/>
    <x v="0"/>
    <x v="0"/>
    <n v="165"/>
    <n v="70"/>
    <n v="89"/>
    <n v="324"/>
    <x v="0"/>
  </r>
  <r>
    <s v="NEET2024100029"/>
    <x v="0"/>
    <x v="28"/>
    <x v="0"/>
    <x v="5"/>
    <x v="2"/>
    <x v="4"/>
    <x v="0"/>
    <n v="90"/>
    <n v="133"/>
    <n v="121"/>
    <n v="344"/>
    <x v="3"/>
  </r>
  <r>
    <s v="NEET2026100030"/>
    <x v="0"/>
    <x v="29"/>
    <x v="3"/>
    <x v="12"/>
    <x v="0"/>
    <x v="4"/>
    <x v="3"/>
    <n v="110"/>
    <n v="91"/>
    <n v="195"/>
    <n v="396"/>
    <x v="3"/>
  </r>
  <r>
    <s v="NEET2023100031"/>
    <x v="0"/>
    <x v="30"/>
    <x v="2"/>
    <x v="10"/>
    <x v="4"/>
    <x v="0"/>
    <x v="2"/>
    <n v="48"/>
    <n v="32"/>
    <n v="294"/>
    <n v="374"/>
    <x v="3"/>
  </r>
  <r>
    <s v="NEET2025100032"/>
    <x v="1"/>
    <x v="31"/>
    <x v="5"/>
    <x v="10"/>
    <x v="4"/>
    <x v="4"/>
    <x v="2"/>
    <n v="119"/>
    <n v="47"/>
    <n v="185"/>
    <n v="351"/>
    <x v="3"/>
  </r>
  <r>
    <s v="NEET2025100033"/>
    <x v="0"/>
    <x v="32"/>
    <x v="1"/>
    <x v="13"/>
    <x v="5"/>
    <x v="3"/>
    <x v="2"/>
    <n v="165"/>
    <n v="32"/>
    <n v="343"/>
    <n v="540"/>
    <x v="0"/>
  </r>
  <r>
    <s v="NEET2025100034"/>
    <x v="0"/>
    <x v="33"/>
    <x v="5"/>
    <x v="6"/>
    <x v="3"/>
    <x v="1"/>
    <x v="3"/>
    <n v="171"/>
    <n v="69"/>
    <n v="199"/>
    <n v="439"/>
    <x v="3"/>
  </r>
  <r>
    <s v="NEET2026100035"/>
    <x v="1"/>
    <x v="34"/>
    <x v="8"/>
    <x v="14"/>
    <x v="0"/>
    <x v="2"/>
    <x v="0"/>
    <n v="94"/>
    <n v="43"/>
    <n v="107"/>
    <n v="244"/>
    <x v="3"/>
  </r>
  <r>
    <s v="NEET2026100036"/>
    <x v="0"/>
    <x v="35"/>
    <x v="2"/>
    <x v="7"/>
    <x v="0"/>
    <x v="2"/>
    <x v="0"/>
    <n v="97"/>
    <n v="71"/>
    <n v="286"/>
    <n v="454"/>
    <x v="1"/>
  </r>
  <r>
    <s v="NEET2024100037"/>
    <x v="1"/>
    <x v="36"/>
    <x v="1"/>
    <x v="11"/>
    <x v="0"/>
    <x v="2"/>
    <x v="2"/>
    <n v="124"/>
    <n v="179"/>
    <n v="342"/>
    <n v="645"/>
    <x v="3"/>
  </r>
  <r>
    <s v="NEET2024100038"/>
    <x v="0"/>
    <x v="37"/>
    <x v="6"/>
    <x v="10"/>
    <x v="4"/>
    <x v="0"/>
    <x v="3"/>
    <n v="40"/>
    <n v="121"/>
    <n v="167"/>
    <n v="328"/>
    <x v="2"/>
  </r>
  <r>
    <s v="NEET2024100039"/>
    <x v="1"/>
    <x v="38"/>
    <x v="0"/>
    <x v="6"/>
    <x v="3"/>
    <x v="1"/>
    <x v="0"/>
    <n v="69"/>
    <n v="90"/>
    <n v="143"/>
    <n v="302"/>
    <x v="3"/>
  </r>
  <r>
    <s v="NEET2024100040"/>
    <x v="0"/>
    <x v="39"/>
    <x v="2"/>
    <x v="10"/>
    <x v="4"/>
    <x v="2"/>
    <x v="1"/>
    <n v="135"/>
    <n v="93"/>
    <n v="196"/>
    <n v="424"/>
    <x v="2"/>
  </r>
  <r>
    <s v="NEET2024100041"/>
    <x v="0"/>
    <x v="40"/>
    <x v="4"/>
    <x v="12"/>
    <x v="0"/>
    <x v="1"/>
    <x v="0"/>
    <n v="147"/>
    <n v="119"/>
    <n v="216"/>
    <n v="482"/>
    <x v="2"/>
  </r>
  <r>
    <s v="NEET2026100042"/>
    <x v="1"/>
    <x v="41"/>
    <x v="3"/>
    <x v="3"/>
    <x v="0"/>
    <x v="2"/>
    <x v="0"/>
    <n v="47"/>
    <n v="101"/>
    <n v="239"/>
    <n v="387"/>
    <x v="3"/>
  </r>
  <r>
    <s v="NEET2026100043"/>
    <x v="1"/>
    <x v="42"/>
    <x v="4"/>
    <x v="4"/>
    <x v="0"/>
    <x v="4"/>
    <x v="3"/>
    <n v="97"/>
    <n v="39"/>
    <n v="115"/>
    <n v="251"/>
    <x v="0"/>
  </r>
  <r>
    <s v="NEET2023100044"/>
    <x v="1"/>
    <x v="43"/>
    <x v="6"/>
    <x v="10"/>
    <x v="4"/>
    <x v="0"/>
    <x v="0"/>
    <n v="177"/>
    <n v="78"/>
    <n v="190"/>
    <n v="445"/>
    <x v="1"/>
  </r>
  <r>
    <s v="NEET2023100045"/>
    <x v="1"/>
    <x v="44"/>
    <x v="6"/>
    <x v="1"/>
    <x v="0"/>
    <x v="4"/>
    <x v="3"/>
    <n v="47"/>
    <n v="114"/>
    <n v="220"/>
    <n v="381"/>
    <x v="3"/>
  </r>
  <r>
    <s v="NEET2024100046"/>
    <x v="1"/>
    <x v="45"/>
    <x v="6"/>
    <x v="6"/>
    <x v="3"/>
    <x v="1"/>
    <x v="1"/>
    <n v="105"/>
    <n v="171"/>
    <n v="125"/>
    <n v="401"/>
    <x v="3"/>
  </r>
  <r>
    <s v="NEET2024100047"/>
    <x v="1"/>
    <x v="46"/>
    <x v="6"/>
    <x v="8"/>
    <x v="0"/>
    <x v="4"/>
    <x v="3"/>
    <n v="30"/>
    <n v="107"/>
    <n v="206"/>
    <n v="343"/>
    <x v="2"/>
  </r>
  <r>
    <s v="NEET2024100048"/>
    <x v="0"/>
    <x v="47"/>
    <x v="8"/>
    <x v="2"/>
    <x v="1"/>
    <x v="0"/>
    <x v="3"/>
    <n v="84"/>
    <n v="160"/>
    <n v="302"/>
    <n v="546"/>
    <x v="3"/>
  </r>
  <r>
    <s v="NEET2024100049"/>
    <x v="0"/>
    <x v="24"/>
    <x v="5"/>
    <x v="5"/>
    <x v="2"/>
    <x v="2"/>
    <x v="0"/>
    <n v="90"/>
    <n v="109"/>
    <n v="175"/>
    <n v="374"/>
    <x v="1"/>
  </r>
  <r>
    <s v="NEET2024100050"/>
    <x v="1"/>
    <x v="48"/>
    <x v="8"/>
    <x v="4"/>
    <x v="0"/>
    <x v="4"/>
    <x v="1"/>
    <n v="48"/>
    <n v="146"/>
    <n v="272"/>
    <n v="466"/>
    <x v="1"/>
  </r>
  <r>
    <s v="NEET2024100051"/>
    <x v="0"/>
    <x v="49"/>
    <x v="5"/>
    <x v="2"/>
    <x v="1"/>
    <x v="2"/>
    <x v="1"/>
    <n v="31"/>
    <n v="57"/>
    <n v="277"/>
    <n v="365"/>
    <x v="1"/>
  </r>
  <r>
    <s v="NEET2025100052"/>
    <x v="1"/>
    <x v="50"/>
    <x v="5"/>
    <x v="14"/>
    <x v="0"/>
    <x v="0"/>
    <x v="1"/>
    <n v="64"/>
    <n v="148"/>
    <n v="331"/>
    <n v="543"/>
    <x v="2"/>
  </r>
  <r>
    <s v="NEET2024100053"/>
    <x v="1"/>
    <x v="51"/>
    <x v="5"/>
    <x v="6"/>
    <x v="3"/>
    <x v="1"/>
    <x v="1"/>
    <n v="151"/>
    <n v="145"/>
    <n v="192"/>
    <n v="488"/>
    <x v="3"/>
  </r>
  <r>
    <s v="NEET2025100054"/>
    <x v="1"/>
    <x v="52"/>
    <x v="8"/>
    <x v="0"/>
    <x v="0"/>
    <x v="1"/>
    <x v="0"/>
    <n v="103"/>
    <n v="90"/>
    <n v="199"/>
    <n v="392"/>
    <x v="1"/>
  </r>
  <r>
    <s v="NEET2026100055"/>
    <x v="1"/>
    <x v="53"/>
    <x v="4"/>
    <x v="1"/>
    <x v="0"/>
    <x v="0"/>
    <x v="3"/>
    <n v="69"/>
    <n v="84"/>
    <n v="92"/>
    <n v="245"/>
    <x v="2"/>
  </r>
  <r>
    <s v="NEET2023100056"/>
    <x v="1"/>
    <x v="54"/>
    <x v="6"/>
    <x v="11"/>
    <x v="0"/>
    <x v="2"/>
    <x v="1"/>
    <n v="82"/>
    <n v="137"/>
    <n v="259"/>
    <n v="478"/>
    <x v="3"/>
  </r>
  <r>
    <s v="NEET2024100057"/>
    <x v="1"/>
    <x v="55"/>
    <x v="3"/>
    <x v="13"/>
    <x v="5"/>
    <x v="3"/>
    <x v="2"/>
    <n v="129"/>
    <n v="137"/>
    <n v="335"/>
    <n v="601"/>
    <x v="2"/>
  </r>
  <r>
    <s v="NEET2024100058"/>
    <x v="1"/>
    <x v="56"/>
    <x v="8"/>
    <x v="11"/>
    <x v="0"/>
    <x v="0"/>
    <x v="2"/>
    <n v="129"/>
    <n v="116"/>
    <n v="267"/>
    <n v="512"/>
    <x v="0"/>
  </r>
  <r>
    <s v="NEET2026100059"/>
    <x v="0"/>
    <x v="57"/>
    <x v="6"/>
    <x v="4"/>
    <x v="0"/>
    <x v="1"/>
    <x v="1"/>
    <n v="174"/>
    <n v="36"/>
    <n v="102"/>
    <n v="312"/>
    <x v="0"/>
  </r>
  <r>
    <s v="NEET2025100060"/>
    <x v="1"/>
    <x v="58"/>
    <x v="3"/>
    <x v="1"/>
    <x v="0"/>
    <x v="3"/>
    <x v="1"/>
    <n v="113"/>
    <n v="84"/>
    <n v="292"/>
    <n v="489"/>
    <x v="2"/>
  </r>
  <r>
    <s v="NEET2023100061"/>
    <x v="1"/>
    <x v="59"/>
    <x v="4"/>
    <x v="5"/>
    <x v="2"/>
    <x v="2"/>
    <x v="2"/>
    <n v="50"/>
    <n v="150"/>
    <n v="69"/>
    <n v="269"/>
    <x v="0"/>
  </r>
  <r>
    <s v="NEET2024100062"/>
    <x v="0"/>
    <x v="60"/>
    <x v="2"/>
    <x v="11"/>
    <x v="0"/>
    <x v="4"/>
    <x v="2"/>
    <n v="93"/>
    <n v="81"/>
    <n v="70"/>
    <n v="244"/>
    <x v="0"/>
  </r>
  <r>
    <s v="NEET2024100063"/>
    <x v="0"/>
    <x v="61"/>
    <x v="1"/>
    <x v="12"/>
    <x v="0"/>
    <x v="3"/>
    <x v="2"/>
    <n v="149"/>
    <n v="95"/>
    <n v="248"/>
    <n v="492"/>
    <x v="0"/>
  </r>
  <r>
    <s v="NEET2026100064"/>
    <x v="0"/>
    <x v="62"/>
    <x v="1"/>
    <x v="11"/>
    <x v="0"/>
    <x v="0"/>
    <x v="0"/>
    <n v="109"/>
    <n v="177"/>
    <n v="252"/>
    <n v="538"/>
    <x v="1"/>
  </r>
  <r>
    <s v="NEET2023100065"/>
    <x v="1"/>
    <x v="63"/>
    <x v="5"/>
    <x v="6"/>
    <x v="3"/>
    <x v="3"/>
    <x v="1"/>
    <n v="107"/>
    <n v="60"/>
    <n v="349"/>
    <n v="516"/>
    <x v="0"/>
  </r>
  <r>
    <s v="NEET2026100066"/>
    <x v="0"/>
    <x v="64"/>
    <x v="8"/>
    <x v="2"/>
    <x v="1"/>
    <x v="3"/>
    <x v="1"/>
    <n v="117"/>
    <n v="33"/>
    <n v="275"/>
    <n v="425"/>
    <x v="2"/>
  </r>
  <r>
    <s v="NEET2025100067"/>
    <x v="1"/>
    <x v="65"/>
    <x v="2"/>
    <x v="7"/>
    <x v="0"/>
    <x v="4"/>
    <x v="1"/>
    <n v="141"/>
    <n v="75"/>
    <n v="327"/>
    <n v="543"/>
    <x v="3"/>
  </r>
  <r>
    <s v="NEET2026100068"/>
    <x v="0"/>
    <x v="66"/>
    <x v="3"/>
    <x v="5"/>
    <x v="2"/>
    <x v="0"/>
    <x v="1"/>
    <n v="92"/>
    <n v="52"/>
    <n v="202"/>
    <n v="346"/>
    <x v="2"/>
  </r>
  <r>
    <s v="NEET2026100069"/>
    <x v="0"/>
    <x v="67"/>
    <x v="3"/>
    <x v="11"/>
    <x v="0"/>
    <x v="3"/>
    <x v="3"/>
    <n v="156"/>
    <n v="113"/>
    <n v="153"/>
    <n v="422"/>
    <x v="3"/>
  </r>
  <r>
    <s v="NEET2024100070"/>
    <x v="0"/>
    <x v="68"/>
    <x v="3"/>
    <x v="10"/>
    <x v="4"/>
    <x v="4"/>
    <x v="2"/>
    <n v="100"/>
    <n v="172"/>
    <n v="65"/>
    <n v="337"/>
    <x v="2"/>
  </r>
  <r>
    <s v="NEET2026100071"/>
    <x v="0"/>
    <x v="69"/>
    <x v="1"/>
    <x v="13"/>
    <x v="5"/>
    <x v="3"/>
    <x v="0"/>
    <n v="91"/>
    <n v="151"/>
    <n v="311"/>
    <n v="553"/>
    <x v="1"/>
  </r>
  <r>
    <s v="NEET2025100072"/>
    <x v="1"/>
    <x v="70"/>
    <x v="6"/>
    <x v="6"/>
    <x v="3"/>
    <x v="4"/>
    <x v="3"/>
    <n v="92"/>
    <n v="108"/>
    <n v="357"/>
    <n v="557"/>
    <x v="3"/>
  </r>
  <r>
    <s v="NEET2025100073"/>
    <x v="0"/>
    <x v="71"/>
    <x v="6"/>
    <x v="6"/>
    <x v="3"/>
    <x v="1"/>
    <x v="0"/>
    <n v="146"/>
    <n v="99"/>
    <n v="216"/>
    <n v="461"/>
    <x v="3"/>
  </r>
  <r>
    <s v="NEET2024100074"/>
    <x v="1"/>
    <x v="72"/>
    <x v="5"/>
    <x v="6"/>
    <x v="3"/>
    <x v="0"/>
    <x v="3"/>
    <n v="167"/>
    <n v="77"/>
    <n v="158"/>
    <n v="402"/>
    <x v="3"/>
  </r>
  <r>
    <s v="NEET2025100075"/>
    <x v="0"/>
    <x v="73"/>
    <x v="5"/>
    <x v="5"/>
    <x v="2"/>
    <x v="2"/>
    <x v="3"/>
    <n v="79"/>
    <n v="105"/>
    <n v="176"/>
    <n v="360"/>
    <x v="1"/>
  </r>
  <r>
    <s v="NEET2024100076"/>
    <x v="1"/>
    <x v="74"/>
    <x v="3"/>
    <x v="11"/>
    <x v="0"/>
    <x v="2"/>
    <x v="0"/>
    <n v="43"/>
    <n v="171"/>
    <n v="209"/>
    <n v="423"/>
    <x v="3"/>
  </r>
  <r>
    <s v="NEET2023100077"/>
    <x v="1"/>
    <x v="75"/>
    <x v="8"/>
    <x v="14"/>
    <x v="0"/>
    <x v="2"/>
    <x v="1"/>
    <n v="142"/>
    <n v="117"/>
    <n v="154"/>
    <n v="413"/>
    <x v="0"/>
  </r>
  <r>
    <s v="NEET2024100078"/>
    <x v="0"/>
    <x v="76"/>
    <x v="6"/>
    <x v="14"/>
    <x v="0"/>
    <x v="2"/>
    <x v="3"/>
    <n v="48"/>
    <n v="177"/>
    <n v="87"/>
    <n v="312"/>
    <x v="1"/>
  </r>
  <r>
    <s v="NEET2026100079"/>
    <x v="1"/>
    <x v="77"/>
    <x v="5"/>
    <x v="8"/>
    <x v="0"/>
    <x v="3"/>
    <x v="1"/>
    <n v="136"/>
    <n v="87"/>
    <n v="327"/>
    <n v="550"/>
    <x v="2"/>
  </r>
  <r>
    <s v="NEET2024100080"/>
    <x v="1"/>
    <x v="78"/>
    <x v="3"/>
    <x v="4"/>
    <x v="0"/>
    <x v="1"/>
    <x v="0"/>
    <n v="45"/>
    <n v="55"/>
    <n v="166"/>
    <n v="266"/>
    <x v="1"/>
  </r>
  <r>
    <s v="NEET2026100081"/>
    <x v="1"/>
    <x v="79"/>
    <x v="4"/>
    <x v="8"/>
    <x v="0"/>
    <x v="3"/>
    <x v="1"/>
    <n v="49"/>
    <n v="70"/>
    <n v="61"/>
    <n v="180"/>
    <x v="0"/>
  </r>
  <r>
    <s v="NEET2024100082"/>
    <x v="1"/>
    <x v="80"/>
    <x v="4"/>
    <x v="3"/>
    <x v="0"/>
    <x v="4"/>
    <x v="2"/>
    <n v="102"/>
    <n v="146"/>
    <n v="96"/>
    <n v="344"/>
    <x v="0"/>
  </r>
  <r>
    <s v="NEET2023100083"/>
    <x v="0"/>
    <x v="81"/>
    <x v="1"/>
    <x v="12"/>
    <x v="0"/>
    <x v="3"/>
    <x v="2"/>
    <n v="68"/>
    <n v="98"/>
    <n v="132"/>
    <n v="298"/>
    <x v="3"/>
  </r>
  <r>
    <s v="NEET2025100084"/>
    <x v="1"/>
    <x v="82"/>
    <x v="8"/>
    <x v="0"/>
    <x v="0"/>
    <x v="2"/>
    <x v="1"/>
    <n v="149"/>
    <n v="107"/>
    <n v="266"/>
    <n v="522"/>
    <x v="0"/>
  </r>
  <r>
    <s v="NEET2023100085"/>
    <x v="0"/>
    <x v="83"/>
    <x v="6"/>
    <x v="6"/>
    <x v="3"/>
    <x v="3"/>
    <x v="0"/>
    <n v="112"/>
    <n v="94"/>
    <n v="73"/>
    <n v="279"/>
    <x v="0"/>
  </r>
  <r>
    <s v="NEET2026100086"/>
    <x v="1"/>
    <x v="84"/>
    <x v="2"/>
    <x v="13"/>
    <x v="5"/>
    <x v="0"/>
    <x v="2"/>
    <n v="74"/>
    <n v="150"/>
    <n v="325"/>
    <n v="549"/>
    <x v="2"/>
  </r>
  <r>
    <s v="NEET2025100087"/>
    <x v="1"/>
    <x v="85"/>
    <x v="0"/>
    <x v="5"/>
    <x v="2"/>
    <x v="3"/>
    <x v="3"/>
    <n v="155"/>
    <n v="53"/>
    <n v="300"/>
    <n v="508"/>
    <x v="0"/>
  </r>
  <r>
    <s v="NEET2026100088"/>
    <x v="0"/>
    <x v="86"/>
    <x v="5"/>
    <x v="9"/>
    <x v="0"/>
    <x v="2"/>
    <x v="1"/>
    <n v="135"/>
    <n v="156"/>
    <n v="207"/>
    <n v="498"/>
    <x v="3"/>
  </r>
  <r>
    <s v="NEET2023100089"/>
    <x v="1"/>
    <x v="59"/>
    <x v="4"/>
    <x v="9"/>
    <x v="0"/>
    <x v="2"/>
    <x v="1"/>
    <n v="59"/>
    <n v="133"/>
    <n v="323"/>
    <n v="515"/>
    <x v="1"/>
  </r>
  <r>
    <s v="NEET2024100090"/>
    <x v="1"/>
    <x v="87"/>
    <x v="8"/>
    <x v="9"/>
    <x v="0"/>
    <x v="3"/>
    <x v="2"/>
    <n v="157"/>
    <n v="143"/>
    <n v="86"/>
    <n v="386"/>
    <x v="2"/>
  </r>
  <r>
    <s v="NEET2024100091"/>
    <x v="1"/>
    <x v="88"/>
    <x v="0"/>
    <x v="14"/>
    <x v="0"/>
    <x v="0"/>
    <x v="0"/>
    <n v="61"/>
    <n v="37"/>
    <n v="182"/>
    <n v="280"/>
    <x v="2"/>
  </r>
  <r>
    <s v="NEET2024100092"/>
    <x v="1"/>
    <x v="89"/>
    <x v="5"/>
    <x v="12"/>
    <x v="0"/>
    <x v="0"/>
    <x v="3"/>
    <n v="59"/>
    <n v="148"/>
    <n v="120"/>
    <n v="327"/>
    <x v="3"/>
  </r>
  <r>
    <s v="NEET2026100093"/>
    <x v="0"/>
    <x v="90"/>
    <x v="6"/>
    <x v="5"/>
    <x v="2"/>
    <x v="1"/>
    <x v="1"/>
    <n v="153"/>
    <n v="150"/>
    <n v="184"/>
    <n v="487"/>
    <x v="1"/>
  </r>
  <r>
    <s v="NEET2025100094"/>
    <x v="0"/>
    <x v="91"/>
    <x v="7"/>
    <x v="3"/>
    <x v="0"/>
    <x v="3"/>
    <x v="3"/>
    <n v="136"/>
    <n v="117"/>
    <n v="319"/>
    <n v="572"/>
    <x v="2"/>
  </r>
  <r>
    <s v="NEET2025100095"/>
    <x v="1"/>
    <x v="92"/>
    <x v="5"/>
    <x v="14"/>
    <x v="0"/>
    <x v="3"/>
    <x v="1"/>
    <n v="167"/>
    <n v="153"/>
    <n v="236"/>
    <n v="556"/>
    <x v="1"/>
  </r>
  <r>
    <s v="NEET2026100096"/>
    <x v="0"/>
    <x v="93"/>
    <x v="0"/>
    <x v="12"/>
    <x v="0"/>
    <x v="4"/>
    <x v="3"/>
    <n v="176"/>
    <n v="128"/>
    <n v="179"/>
    <n v="483"/>
    <x v="2"/>
  </r>
  <r>
    <s v="NEET2024100097"/>
    <x v="1"/>
    <x v="94"/>
    <x v="6"/>
    <x v="2"/>
    <x v="1"/>
    <x v="4"/>
    <x v="0"/>
    <n v="68"/>
    <n v="156"/>
    <n v="78"/>
    <n v="302"/>
    <x v="0"/>
  </r>
  <r>
    <s v="NEET2026100098"/>
    <x v="0"/>
    <x v="95"/>
    <x v="1"/>
    <x v="10"/>
    <x v="4"/>
    <x v="4"/>
    <x v="0"/>
    <n v="146"/>
    <n v="33"/>
    <n v="133"/>
    <n v="312"/>
    <x v="3"/>
  </r>
  <r>
    <s v="NEET2026100099"/>
    <x v="1"/>
    <x v="96"/>
    <x v="3"/>
    <x v="4"/>
    <x v="0"/>
    <x v="0"/>
    <x v="1"/>
    <n v="131"/>
    <n v="50"/>
    <n v="228"/>
    <n v="409"/>
    <x v="0"/>
  </r>
  <r>
    <s v="NEET2023100100"/>
    <x v="1"/>
    <x v="97"/>
    <x v="0"/>
    <x v="0"/>
    <x v="0"/>
    <x v="2"/>
    <x v="0"/>
    <n v="90"/>
    <n v="103"/>
    <n v="176"/>
    <n v="369"/>
    <x v="2"/>
  </r>
  <r>
    <s v="NEET2025100101"/>
    <x v="0"/>
    <x v="98"/>
    <x v="5"/>
    <x v="6"/>
    <x v="3"/>
    <x v="3"/>
    <x v="3"/>
    <n v="106"/>
    <n v="37"/>
    <n v="83"/>
    <n v="226"/>
    <x v="3"/>
  </r>
  <r>
    <s v="NEET2024100102"/>
    <x v="0"/>
    <x v="99"/>
    <x v="6"/>
    <x v="7"/>
    <x v="0"/>
    <x v="2"/>
    <x v="2"/>
    <n v="92"/>
    <n v="165"/>
    <n v="270"/>
    <n v="527"/>
    <x v="2"/>
  </r>
  <r>
    <s v="NEET2024100103"/>
    <x v="0"/>
    <x v="100"/>
    <x v="0"/>
    <x v="2"/>
    <x v="1"/>
    <x v="3"/>
    <x v="1"/>
    <n v="91"/>
    <n v="157"/>
    <n v="358"/>
    <n v="606"/>
    <x v="2"/>
  </r>
  <r>
    <s v="NEET2024100104"/>
    <x v="0"/>
    <x v="101"/>
    <x v="4"/>
    <x v="2"/>
    <x v="1"/>
    <x v="3"/>
    <x v="1"/>
    <n v="32"/>
    <n v="149"/>
    <n v="207"/>
    <n v="388"/>
    <x v="3"/>
  </r>
  <r>
    <s v="NEET2024100105"/>
    <x v="1"/>
    <x v="102"/>
    <x v="0"/>
    <x v="1"/>
    <x v="0"/>
    <x v="2"/>
    <x v="1"/>
    <n v="94"/>
    <n v="146"/>
    <n v="214"/>
    <n v="454"/>
    <x v="1"/>
  </r>
  <r>
    <s v="NEET2025100106"/>
    <x v="0"/>
    <x v="103"/>
    <x v="6"/>
    <x v="4"/>
    <x v="0"/>
    <x v="3"/>
    <x v="1"/>
    <n v="121"/>
    <n v="177"/>
    <n v="211"/>
    <n v="509"/>
    <x v="0"/>
  </r>
  <r>
    <s v="NEET2024100107"/>
    <x v="1"/>
    <x v="104"/>
    <x v="1"/>
    <x v="5"/>
    <x v="2"/>
    <x v="1"/>
    <x v="2"/>
    <n v="42"/>
    <n v="157"/>
    <n v="206"/>
    <n v="405"/>
    <x v="3"/>
  </r>
  <r>
    <s v="NEET2025100108"/>
    <x v="1"/>
    <x v="105"/>
    <x v="0"/>
    <x v="13"/>
    <x v="5"/>
    <x v="0"/>
    <x v="0"/>
    <n v="65"/>
    <n v="54"/>
    <n v="80"/>
    <n v="199"/>
    <x v="3"/>
  </r>
  <r>
    <s v="NEET2026100109"/>
    <x v="0"/>
    <x v="106"/>
    <x v="2"/>
    <x v="7"/>
    <x v="0"/>
    <x v="1"/>
    <x v="2"/>
    <n v="53"/>
    <n v="105"/>
    <n v="227"/>
    <n v="385"/>
    <x v="3"/>
  </r>
  <r>
    <s v="NEET2026100110"/>
    <x v="1"/>
    <x v="107"/>
    <x v="1"/>
    <x v="8"/>
    <x v="0"/>
    <x v="2"/>
    <x v="3"/>
    <n v="99"/>
    <n v="72"/>
    <n v="191"/>
    <n v="362"/>
    <x v="2"/>
  </r>
  <r>
    <s v="NEET2025100111"/>
    <x v="0"/>
    <x v="108"/>
    <x v="7"/>
    <x v="7"/>
    <x v="0"/>
    <x v="2"/>
    <x v="1"/>
    <n v="87"/>
    <n v="131"/>
    <n v="345"/>
    <n v="563"/>
    <x v="3"/>
  </r>
  <r>
    <s v="NEET2026100112"/>
    <x v="1"/>
    <x v="109"/>
    <x v="1"/>
    <x v="0"/>
    <x v="0"/>
    <x v="1"/>
    <x v="0"/>
    <n v="146"/>
    <n v="124"/>
    <n v="194"/>
    <n v="464"/>
    <x v="2"/>
  </r>
  <r>
    <s v="NEET2023100113"/>
    <x v="1"/>
    <x v="110"/>
    <x v="7"/>
    <x v="4"/>
    <x v="0"/>
    <x v="4"/>
    <x v="3"/>
    <n v="173"/>
    <n v="113"/>
    <n v="173"/>
    <n v="459"/>
    <x v="0"/>
  </r>
  <r>
    <s v="NEET2023100114"/>
    <x v="0"/>
    <x v="111"/>
    <x v="5"/>
    <x v="11"/>
    <x v="0"/>
    <x v="0"/>
    <x v="2"/>
    <n v="39"/>
    <n v="107"/>
    <n v="312"/>
    <n v="458"/>
    <x v="1"/>
  </r>
  <r>
    <s v="NEET2024100115"/>
    <x v="1"/>
    <x v="112"/>
    <x v="6"/>
    <x v="14"/>
    <x v="0"/>
    <x v="4"/>
    <x v="0"/>
    <n v="124"/>
    <n v="168"/>
    <n v="274"/>
    <n v="566"/>
    <x v="2"/>
  </r>
  <r>
    <s v="NEET2026100116"/>
    <x v="0"/>
    <x v="68"/>
    <x v="3"/>
    <x v="11"/>
    <x v="0"/>
    <x v="2"/>
    <x v="3"/>
    <n v="124"/>
    <n v="85"/>
    <n v="287"/>
    <n v="496"/>
    <x v="3"/>
  </r>
  <r>
    <s v="NEET2025100117"/>
    <x v="0"/>
    <x v="81"/>
    <x v="1"/>
    <x v="10"/>
    <x v="4"/>
    <x v="4"/>
    <x v="0"/>
    <n v="121"/>
    <n v="45"/>
    <n v="263"/>
    <n v="429"/>
    <x v="0"/>
  </r>
  <r>
    <s v="NEET2024100118"/>
    <x v="0"/>
    <x v="113"/>
    <x v="0"/>
    <x v="12"/>
    <x v="0"/>
    <x v="2"/>
    <x v="2"/>
    <n v="35"/>
    <n v="42"/>
    <n v="230"/>
    <n v="307"/>
    <x v="1"/>
  </r>
  <r>
    <s v="NEET2023100119"/>
    <x v="1"/>
    <x v="114"/>
    <x v="1"/>
    <x v="12"/>
    <x v="0"/>
    <x v="1"/>
    <x v="2"/>
    <n v="89"/>
    <n v="114"/>
    <n v="135"/>
    <n v="338"/>
    <x v="3"/>
  </r>
  <r>
    <s v="NEET2023100120"/>
    <x v="1"/>
    <x v="115"/>
    <x v="9"/>
    <x v="7"/>
    <x v="0"/>
    <x v="0"/>
    <x v="2"/>
    <n v="58"/>
    <n v="36"/>
    <n v="127"/>
    <n v="221"/>
    <x v="3"/>
  </r>
  <r>
    <s v="NEET2026100121"/>
    <x v="0"/>
    <x v="116"/>
    <x v="7"/>
    <x v="7"/>
    <x v="0"/>
    <x v="4"/>
    <x v="0"/>
    <n v="97"/>
    <n v="43"/>
    <n v="124"/>
    <n v="264"/>
    <x v="2"/>
  </r>
  <r>
    <s v="NEET2024100122"/>
    <x v="0"/>
    <x v="117"/>
    <x v="2"/>
    <x v="9"/>
    <x v="0"/>
    <x v="4"/>
    <x v="3"/>
    <n v="161"/>
    <n v="57"/>
    <n v="291"/>
    <n v="509"/>
    <x v="0"/>
  </r>
  <r>
    <s v="NEET2026100123"/>
    <x v="1"/>
    <x v="118"/>
    <x v="7"/>
    <x v="14"/>
    <x v="0"/>
    <x v="2"/>
    <x v="0"/>
    <n v="132"/>
    <n v="139"/>
    <n v="115"/>
    <n v="386"/>
    <x v="3"/>
  </r>
  <r>
    <s v="NEET2025100124"/>
    <x v="1"/>
    <x v="119"/>
    <x v="1"/>
    <x v="7"/>
    <x v="0"/>
    <x v="4"/>
    <x v="3"/>
    <n v="46"/>
    <n v="62"/>
    <n v="200"/>
    <n v="308"/>
    <x v="2"/>
  </r>
  <r>
    <s v="NEET2026100125"/>
    <x v="1"/>
    <x v="120"/>
    <x v="5"/>
    <x v="13"/>
    <x v="5"/>
    <x v="4"/>
    <x v="2"/>
    <n v="59"/>
    <n v="171"/>
    <n v="170"/>
    <n v="400"/>
    <x v="3"/>
  </r>
  <r>
    <s v="NEET2026100126"/>
    <x v="1"/>
    <x v="121"/>
    <x v="8"/>
    <x v="1"/>
    <x v="0"/>
    <x v="3"/>
    <x v="3"/>
    <n v="136"/>
    <n v="54"/>
    <n v="220"/>
    <n v="410"/>
    <x v="1"/>
  </r>
  <r>
    <s v="NEET2023100127"/>
    <x v="0"/>
    <x v="122"/>
    <x v="0"/>
    <x v="10"/>
    <x v="4"/>
    <x v="2"/>
    <x v="1"/>
    <n v="151"/>
    <n v="47"/>
    <n v="106"/>
    <n v="304"/>
    <x v="3"/>
  </r>
  <r>
    <s v="NEET2025100128"/>
    <x v="0"/>
    <x v="123"/>
    <x v="5"/>
    <x v="8"/>
    <x v="0"/>
    <x v="3"/>
    <x v="1"/>
    <n v="45"/>
    <n v="180"/>
    <n v="347"/>
    <n v="572"/>
    <x v="2"/>
  </r>
  <r>
    <s v="NEET2023100129"/>
    <x v="0"/>
    <x v="124"/>
    <x v="2"/>
    <x v="11"/>
    <x v="0"/>
    <x v="4"/>
    <x v="2"/>
    <n v="103"/>
    <n v="109"/>
    <n v="240"/>
    <n v="452"/>
    <x v="1"/>
  </r>
  <r>
    <s v="NEET2025100130"/>
    <x v="0"/>
    <x v="125"/>
    <x v="5"/>
    <x v="9"/>
    <x v="0"/>
    <x v="0"/>
    <x v="1"/>
    <n v="172"/>
    <n v="124"/>
    <n v="118"/>
    <n v="414"/>
    <x v="0"/>
  </r>
  <r>
    <s v="NEET2025100131"/>
    <x v="1"/>
    <x v="126"/>
    <x v="1"/>
    <x v="10"/>
    <x v="4"/>
    <x v="3"/>
    <x v="3"/>
    <n v="98"/>
    <n v="37"/>
    <n v="152"/>
    <n v="287"/>
    <x v="0"/>
  </r>
  <r>
    <s v="NEET2023100132"/>
    <x v="0"/>
    <x v="127"/>
    <x v="4"/>
    <x v="5"/>
    <x v="2"/>
    <x v="2"/>
    <x v="0"/>
    <n v="66"/>
    <n v="174"/>
    <n v="265"/>
    <n v="505"/>
    <x v="1"/>
  </r>
  <r>
    <s v="NEET2025100133"/>
    <x v="1"/>
    <x v="128"/>
    <x v="6"/>
    <x v="1"/>
    <x v="0"/>
    <x v="0"/>
    <x v="3"/>
    <n v="146"/>
    <n v="117"/>
    <n v="140"/>
    <n v="403"/>
    <x v="0"/>
  </r>
  <r>
    <s v="NEET2025100134"/>
    <x v="1"/>
    <x v="129"/>
    <x v="7"/>
    <x v="7"/>
    <x v="0"/>
    <x v="4"/>
    <x v="1"/>
    <n v="70"/>
    <n v="42"/>
    <n v="101"/>
    <n v="213"/>
    <x v="2"/>
  </r>
  <r>
    <s v="NEET2025100135"/>
    <x v="1"/>
    <x v="130"/>
    <x v="6"/>
    <x v="3"/>
    <x v="0"/>
    <x v="3"/>
    <x v="0"/>
    <n v="85"/>
    <n v="161"/>
    <n v="118"/>
    <n v="364"/>
    <x v="2"/>
  </r>
  <r>
    <s v="NEET2026100136"/>
    <x v="0"/>
    <x v="131"/>
    <x v="1"/>
    <x v="2"/>
    <x v="1"/>
    <x v="1"/>
    <x v="0"/>
    <n v="108"/>
    <n v="41"/>
    <n v="172"/>
    <n v="321"/>
    <x v="3"/>
  </r>
  <r>
    <s v="NEET2025100137"/>
    <x v="0"/>
    <x v="132"/>
    <x v="4"/>
    <x v="13"/>
    <x v="5"/>
    <x v="4"/>
    <x v="0"/>
    <n v="65"/>
    <n v="95"/>
    <n v="208"/>
    <n v="368"/>
    <x v="2"/>
  </r>
  <r>
    <s v="NEET2025100138"/>
    <x v="0"/>
    <x v="133"/>
    <x v="4"/>
    <x v="7"/>
    <x v="0"/>
    <x v="2"/>
    <x v="1"/>
    <n v="127"/>
    <n v="166"/>
    <n v="177"/>
    <n v="470"/>
    <x v="2"/>
  </r>
  <r>
    <s v="NEET2026100139"/>
    <x v="1"/>
    <x v="134"/>
    <x v="7"/>
    <x v="14"/>
    <x v="0"/>
    <x v="3"/>
    <x v="1"/>
    <n v="49"/>
    <n v="110"/>
    <n v="354"/>
    <n v="513"/>
    <x v="0"/>
  </r>
  <r>
    <s v="NEET2025100140"/>
    <x v="0"/>
    <x v="135"/>
    <x v="6"/>
    <x v="11"/>
    <x v="0"/>
    <x v="2"/>
    <x v="1"/>
    <n v="113"/>
    <n v="73"/>
    <n v="295"/>
    <n v="481"/>
    <x v="1"/>
  </r>
  <r>
    <s v="NEET2026100141"/>
    <x v="1"/>
    <x v="136"/>
    <x v="8"/>
    <x v="4"/>
    <x v="0"/>
    <x v="1"/>
    <x v="3"/>
    <n v="132"/>
    <n v="164"/>
    <n v="100"/>
    <n v="396"/>
    <x v="3"/>
  </r>
  <r>
    <s v="NEET2024100142"/>
    <x v="1"/>
    <x v="137"/>
    <x v="2"/>
    <x v="7"/>
    <x v="0"/>
    <x v="1"/>
    <x v="3"/>
    <n v="49"/>
    <n v="160"/>
    <n v="118"/>
    <n v="327"/>
    <x v="1"/>
  </r>
  <r>
    <s v="NEET2024100143"/>
    <x v="0"/>
    <x v="138"/>
    <x v="5"/>
    <x v="7"/>
    <x v="0"/>
    <x v="4"/>
    <x v="2"/>
    <n v="95"/>
    <n v="80"/>
    <n v="148"/>
    <n v="323"/>
    <x v="2"/>
  </r>
  <r>
    <s v="NEET2025100144"/>
    <x v="1"/>
    <x v="139"/>
    <x v="2"/>
    <x v="4"/>
    <x v="0"/>
    <x v="4"/>
    <x v="2"/>
    <n v="178"/>
    <n v="144"/>
    <n v="349"/>
    <n v="671"/>
    <x v="0"/>
  </r>
  <r>
    <s v="NEET2025100145"/>
    <x v="0"/>
    <x v="140"/>
    <x v="8"/>
    <x v="14"/>
    <x v="0"/>
    <x v="4"/>
    <x v="3"/>
    <n v="107"/>
    <n v="100"/>
    <n v="88"/>
    <n v="295"/>
    <x v="2"/>
  </r>
  <r>
    <s v="NEET2023100146"/>
    <x v="1"/>
    <x v="141"/>
    <x v="7"/>
    <x v="11"/>
    <x v="0"/>
    <x v="0"/>
    <x v="1"/>
    <n v="124"/>
    <n v="103"/>
    <n v="99"/>
    <n v="326"/>
    <x v="0"/>
  </r>
  <r>
    <s v="NEET2026100147"/>
    <x v="0"/>
    <x v="142"/>
    <x v="8"/>
    <x v="10"/>
    <x v="4"/>
    <x v="4"/>
    <x v="0"/>
    <n v="176"/>
    <n v="78"/>
    <n v="224"/>
    <n v="478"/>
    <x v="0"/>
  </r>
  <r>
    <s v="NEET2023100148"/>
    <x v="0"/>
    <x v="143"/>
    <x v="3"/>
    <x v="6"/>
    <x v="3"/>
    <x v="4"/>
    <x v="1"/>
    <n v="51"/>
    <n v="159"/>
    <n v="148"/>
    <n v="358"/>
    <x v="1"/>
  </r>
  <r>
    <s v="NEET2025100149"/>
    <x v="0"/>
    <x v="144"/>
    <x v="6"/>
    <x v="9"/>
    <x v="0"/>
    <x v="2"/>
    <x v="3"/>
    <n v="102"/>
    <n v="129"/>
    <n v="269"/>
    <n v="500"/>
    <x v="3"/>
  </r>
  <r>
    <s v="NEET2024100150"/>
    <x v="1"/>
    <x v="145"/>
    <x v="5"/>
    <x v="8"/>
    <x v="0"/>
    <x v="0"/>
    <x v="0"/>
    <n v="128"/>
    <n v="102"/>
    <n v="189"/>
    <n v="419"/>
    <x v="1"/>
  </r>
  <r>
    <s v="NEET2025100151"/>
    <x v="1"/>
    <x v="146"/>
    <x v="6"/>
    <x v="3"/>
    <x v="0"/>
    <x v="1"/>
    <x v="3"/>
    <n v="130"/>
    <n v="63"/>
    <n v="103"/>
    <n v="296"/>
    <x v="0"/>
  </r>
  <r>
    <s v="NEET2023100152"/>
    <x v="1"/>
    <x v="147"/>
    <x v="0"/>
    <x v="2"/>
    <x v="1"/>
    <x v="1"/>
    <x v="3"/>
    <n v="138"/>
    <n v="160"/>
    <n v="245"/>
    <n v="543"/>
    <x v="1"/>
  </r>
  <r>
    <s v="NEET2024100153"/>
    <x v="0"/>
    <x v="148"/>
    <x v="3"/>
    <x v="13"/>
    <x v="5"/>
    <x v="3"/>
    <x v="0"/>
    <n v="154"/>
    <n v="79"/>
    <n v="175"/>
    <n v="408"/>
    <x v="0"/>
  </r>
  <r>
    <s v="NEET2025100154"/>
    <x v="0"/>
    <x v="149"/>
    <x v="8"/>
    <x v="13"/>
    <x v="5"/>
    <x v="1"/>
    <x v="1"/>
    <n v="168"/>
    <n v="164"/>
    <n v="79"/>
    <n v="411"/>
    <x v="1"/>
  </r>
  <r>
    <s v="NEET2026100155"/>
    <x v="1"/>
    <x v="150"/>
    <x v="4"/>
    <x v="5"/>
    <x v="2"/>
    <x v="4"/>
    <x v="2"/>
    <n v="72"/>
    <n v="142"/>
    <n v="82"/>
    <n v="296"/>
    <x v="3"/>
  </r>
  <r>
    <s v="NEET2024100156"/>
    <x v="1"/>
    <x v="151"/>
    <x v="2"/>
    <x v="6"/>
    <x v="3"/>
    <x v="1"/>
    <x v="1"/>
    <n v="144"/>
    <n v="89"/>
    <n v="333"/>
    <n v="566"/>
    <x v="3"/>
  </r>
  <r>
    <s v="NEET2026100157"/>
    <x v="1"/>
    <x v="152"/>
    <x v="0"/>
    <x v="4"/>
    <x v="0"/>
    <x v="1"/>
    <x v="2"/>
    <n v="142"/>
    <n v="148"/>
    <n v="204"/>
    <n v="494"/>
    <x v="1"/>
  </r>
  <r>
    <s v="NEET2023100158"/>
    <x v="0"/>
    <x v="153"/>
    <x v="4"/>
    <x v="11"/>
    <x v="0"/>
    <x v="2"/>
    <x v="3"/>
    <n v="153"/>
    <n v="125"/>
    <n v="343"/>
    <n v="621"/>
    <x v="1"/>
  </r>
  <r>
    <s v="NEET2023100159"/>
    <x v="0"/>
    <x v="154"/>
    <x v="3"/>
    <x v="14"/>
    <x v="0"/>
    <x v="3"/>
    <x v="1"/>
    <n v="161"/>
    <n v="67"/>
    <n v="283"/>
    <n v="511"/>
    <x v="0"/>
  </r>
  <r>
    <s v="NEET2024100160"/>
    <x v="1"/>
    <x v="155"/>
    <x v="6"/>
    <x v="11"/>
    <x v="0"/>
    <x v="3"/>
    <x v="0"/>
    <n v="131"/>
    <n v="158"/>
    <n v="251"/>
    <n v="540"/>
    <x v="1"/>
  </r>
  <r>
    <s v="NEET2024100161"/>
    <x v="0"/>
    <x v="156"/>
    <x v="7"/>
    <x v="9"/>
    <x v="0"/>
    <x v="4"/>
    <x v="3"/>
    <n v="55"/>
    <n v="115"/>
    <n v="134"/>
    <n v="304"/>
    <x v="1"/>
  </r>
  <r>
    <s v="NEET2023100162"/>
    <x v="0"/>
    <x v="157"/>
    <x v="2"/>
    <x v="6"/>
    <x v="3"/>
    <x v="1"/>
    <x v="3"/>
    <n v="150"/>
    <n v="144"/>
    <n v="62"/>
    <n v="356"/>
    <x v="1"/>
  </r>
  <r>
    <s v="NEET2025100163"/>
    <x v="0"/>
    <x v="158"/>
    <x v="1"/>
    <x v="6"/>
    <x v="3"/>
    <x v="2"/>
    <x v="3"/>
    <n v="165"/>
    <n v="138"/>
    <n v="116"/>
    <n v="419"/>
    <x v="0"/>
  </r>
  <r>
    <s v="NEET2026100164"/>
    <x v="0"/>
    <x v="159"/>
    <x v="4"/>
    <x v="1"/>
    <x v="0"/>
    <x v="1"/>
    <x v="2"/>
    <n v="147"/>
    <n v="46"/>
    <n v="116"/>
    <n v="309"/>
    <x v="3"/>
  </r>
  <r>
    <s v="NEET2026100165"/>
    <x v="0"/>
    <x v="160"/>
    <x v="6"/>
    <x v="11"/>
    <x v="0"/>
    <x v="0"/>
    <x v="0"/>
    <n v="120"/>
    <n v="91"/>
    <n v="352"/>
    <n v="563"/>
    <x v="3"/>
  </r>
  <r>
    <s v="NEET2023100166"/>
    <x v="1"/>
    <x v="161"/>
    <x v="7"/>
    <x v="8"/>
    <x v="0"/>
    <x v="2"/>
    <x v="1"/>
    <n v="169"/>
    <n v="159"/>
    <n v="319"/>
    <n v="647"/>
    <x v="2"/>
  </r>
  <r>
    <s v="NEET2025100167"/>
    <x v="0"/>
    <x v="162"/>
    <x v="6"/>
    <x v="3"/>
    <x v="0"/>
    <x v="0"/>
    <x v="0"/>
    <n v="34"/>
    <n v="121"/>
    <n v="94"/>
    <n v="249"/>
    <x v="3"/>
  </r>
  <r>
    <s v="NEET2024100168"/>
    <x v="1"/>
    <x v="163"/>
    <x v="5"/>
    <x v="11"/>
    <x v="0"/>
    <x v="1"/>
    <x v="1"/>
    <n v="120"/>
    <n v="169"/>
    <n v="233"/>
    <n v="522"/>
    <x v="1"/>
  </r>
  <r>
    <s v="NEET2024100169"/>
    <x v="0"/>
    <x v="164"/>
    <x v="7"/>
    <x v="6"/>
    <x v="3"/>
    <x v="2"/>
    <x v="2"/>
    <n v="147"/>
    <n v="39"/>
    <n v="210"/>
    <n v="396"/>
    <x v="3"/>
  </r>
  <r>
    <s v="NEET2025100170"/>
    <x v="0"/>
    <x v="165"/>
    <x v="3"/>
    <x v="8"/>
    <x v="0"/>
    <x v="3"/>
    <x v="2"/>
    <n v="131"/>
    <n v="169"/>
    <n v="302"/>
    <n v="602"/>
    <x v="3"/>
  </r>
  <r>
    <s v="NEET2025100171"/>
    <x v="1"/>
    <x v="166"/>
    <x v="2"/>
    <x v="11"/>
    <x v="0"/>
    <x v="4"/>
    <x v="1"/>
    <n v="114"/>
    <n v="99"/>
    <n v="123"/>
    <n v="336"/>
    <x v="2"/>
  </r>
  <r>
    <s v="NEET2025100172"/>
    <x v="0"/>
    <x v="167"/>
    <x v="3"/>
    <x v="7"/>
    <x v="0"/>
    <x v="2"/>
    <x v="1"/>
    <n v="157"/>
    <n v="157"/>
    <n v="248"/>
    <n v="562"/>
    <x v="2"/>
  </r>
  <r>
    <s v="NEET2025100173"/>
    <x v="0"/>
    <x v="168"/>
    <x v="1"/>
    <x v="5"/>
    <x v="2"/>
    <x v="3"/>
    <x v="0"/>
    <n v="76"/>
    <n v="169"/>
    <n v="210"/>
    <n v="455"/>
    <x v="3"/>
  </r>
  <r>
    <s v="NEET2025100174"/>
    <x v="1"/>
    <x v="169"/>
    <x v="3"/>
    <x v="14"/>
    <x v="0"/>
    <x v="3"/>
    <x v="0"/>
    <n v="139"/>
    <n v="72"/>
    <n v="287"/>
    <n v="498"/>
    <x v="2"/>
  </r>
  <r>
    <s v="NEET2025100175"/>
    <x v="0"/>
    <x v="170"/>
    <x v="3"/>
    <x v="2"/>
    <x v="1"/>
    <x v="1"/>
    <x v="0"/>
    <n v="44"/>
    <n v="49"/>
    <n v="267"/>
    <n v="360"/>
    <x v="2"/>
  </r>
  <r>
    <s v="NEET2025100176"/>
    <x v="1"/>
    <x v="171"/>
    <x v="7"/>
    <x v="7"/>
    <x v="0"/>
    <x v="0"/>
    <x v="0"/>
    <n v="47"/>
    <n v="90"/>
    <n v="247"/>
    <n v="384"/>
    <x v="1"/>
  </r>
  <r>
    <s v="NEET2023100177"/>
    <x v="0"/>
    <x v="172"/>
    <x v="0"/>
    <x v="14"/>
    <x v="0"/>
    <x v="4"/>
    <x v="3"/>
    <n v="124"/>
    <n v="125"/>
    <n v="287"/>
    <n v="536"/>
    <x v="3"/>
  </r>
  <r>
    <s v="NEET2024100178"/>
    <x v="1"/>
    <x v="173"/>
    <x v="0"/>
    <x v="3"/>
    <x v="0"/>
    <x v="0"/>
    <x v="1"/>
    <n v="93"/>
    <n v="59"/>
    <n v="73"/>
    <n v="225"/>
    <x v="0"/>
  </r>
  <r>
    <s v="NEET2025100179"/>
    <x v="1"/>
    <x v="174"/>
    <x v="3"/>
    <x v="13"/>
    <x v="5"/>
    <x v="2"/>
    <x v="2"/>
    <n v="96"/>
    <n v="144"/>
    <n v="169"/>
    <n v="409"/>
    <x v="1"/>
  </r>
  <r>
    <s v="NEET2025100180"/>
    <x v="1"/>
    <x v="175"/>
    <x v="7"/>
    <x v="14"/>
    <x v="0"/>
    <x v="0"/>
    <x v="0"/>
    <n v="74"/>
    <n v="143"/>
    <n v="104"/>
    <n v="321"/>
    <x v="3"/>
  </r>
  <r>
    <s v="NEET2024100181"/>
    <x v="0"/>
    <x v="176"/>
    <x v="3"/>
    <x v="5"/>
    <x v="2"/>
    <x v="1"/>
    <x v="2"/>
    <n v="70"/>
    <n v="74"/>
    <n v="245"/>
    <n v="389"/>
    <x v="1"/>
  </r>
  <r>
    <s v="NEET2025100182"/>
    <x v="1"/>
    <x v="177"/>
    <x v="2"/>
    <x v="14"/>
    <x v="0"/>
    <x v="0"/>
    <x v="2"/>
    <n v="36"/>
    <n v="122"/>
    <n v="343"/>
    <n v="501"/>
    <x v="0"/>
  </r>
  <r>
    <s v="NEET2026100183"/>
    <x v="1"/>
    <x v="178"/>
    <x v="7"/>
    <x v="3"/>
    <x v="0"/>
    <x v="1"/>
    <x v="0"/>
    <n v="131"/>
    <n v="152"/>
    <n v="329"/>
    <n v="612"/>
    <x v="3"/>
  </r>
  <r>
    <s v="NEET2025100184"/>
    <x v="0"/>
    <x v="179"/>
    <x v="0"/>
    <x v="0"/>
    <x v="0"/>
    <x v="1"/>
    <x v="2"/>
    <n v="145"/>
    <n v="149"/>
    <n v="324"/>
    <n v="618"/>
    <x v="2"/>
  </r>
  <r>
    <s v="NEET2024100185"/>
    <x v="1"/>
    <x v="27"/>
    <x v="8"/>
    <x v="10"/>
    <x v="4"/>
    <x v="1"/>
    <x v="2"/>
    <n v="44"/>
    <n v="61"/>
    <n v="325"/>
    <n v="430"/>
    <x v="3"/>
  </r>
  <r>
    <s v="NEET2023100186"/>
    <x v="1"/>
    <x v="180"/>
    <x v="2"/>
    <x v="12"/>
    <x v="0"/>
    <x v="0"/>
    <x v="2"/>
    <n v="118"/>
    <n v="162"/>
    <n v="205"/>
    <n v="485"/>
    <x v="3"/>
  </r>
  <r>
    <s v="NEET2024100187"/>
    <x v="0"/>
    <x v="181"/>
    <x v="5"/>
    <x v="2"/>
    <x v="1"/>
    <x v="0"/>
    <x v="2"/>
    <n v="107"/>
    <n v="166"/>
    <n v="107"/>
    <n v="380"/>
    <x v="3"/>
  </r>
  <r>
    <s v="NEET2025100188"/>
    <x v="0"/>
    <x v="182"/>
    <x v="1"/>
    <x v="11"/>
    <x v="0"/>
    <x v="0"/>
    <x v="1"/>
    <n v="37"/>
    <n v="50"/>
    <n v="83"/>
    <n v="170"/>
    <x v="0"/>
  </r>
  <r>
    <s v="NEET2026100189"/>
    <x v="0"/>
    <x v="183"/>
    <x v="8"/>
    <x v="10"/>
    <x v="4"/>
    <x v="3"/>
    <x v="1"/>
    <n v="169"/>
    <n v="104"/>
    <n v="214"/>
    <n v="487"/>
    <x v="2"/>
  </r>
  <r>
    <s v="NEET2026100190"/>
    <x v="1"/>
    <x v="184"/>
    <x v="7"/>
    <x v="6"/>
    <x v="3"/>
    <x v="1"/>
    <x v="1"/>
    <n v="45"/>
    <n v="70"/>
    <n v="285"/>
    <n v="400"/>
    <x v="3"/>
  </r>
  <r>
    <s v="NEET2026100191"/>
    <x v="0"/>
    <x v="185"/>
    <x v="1"/>
    <x v="7"/>
    <x v="0"/>
    <x v="0"/>
    <x v="3"/>
    <n v="110"/>
    <n v="111"/>
    <n v="236"/>
    <n v="457"/>
    <x v="0"/>
  </r>
  <r>
    <s v="NEET2026100192"/>
    <x v="0"/>
    <x v="186"/>
    <x v="3"/>
    <x v="12"/>
    <x v="0"/>
    <x v="2"/>
    <x v="2"/>
    <n v="149"/>
    <n v="61"/>
    <n v="196"/>
    <n v="406"/>
    <x v="0"/>
  </r>
  <r>
    <s v="NEET2025100193"/>
    <x v="1"/>
    <x v="187"/>
    <x v="3"/>
    <x v="1"/>
    <x v="0"/>
    <x v="1"/>
    <x v="2"/>
    <n v="137"/>
    <n v="93"/>
    <n v="141"/>
    <n v="371"/>
    <x v="2"/>
  </r>
  <r>
    <s v="NEET2023100194"/>
    <x v="0"/>
    <x v="188"/>
    <x v="8"/>
    <x v="14"/>
    <x v="0"/>
    <x v="0"/>
    <x v="1"/>
    <n v="157"/>
    <n v="108"/>
    <n v="314"/>
    <n v="579"/>
    <x v="2"/>
  </r>
  <r>
    <s v="NEET2023100195"/>
    <x v="1"/>
    <x v="189"/>
    <x v="4"/>
    <x v="12"/>
    <x v="0"/>
    <x v="0"/>
    <x v="1"/>
    <n v="179"/>
    <n v="120"/>
    <n v="84"/>
    <n v="383"/>
    <x v="2"/>
  </r>
  <r>
    <s v="NEET2024100196"/>
    <x v="1"/>
    <x v="190"/>
    <x v="3"/>
    <x v="8"/>
    <x v="0"/>
    <x v="4"/>
    <x v="3"/>
    <n v="32"/>
    <n v="57"/>
    <n v="280"/>
    <n v="369"/>
    <x v="3"/>
  </r>
  <r>
    <s v="NEET2024100197"/>
    <x v="1"/>
    <x v="191"/>
    <x v="7"/>
    <x v="1"/>
    <x v="0"/>
    <x v="2"/>
    <x v="3"/>
    <n v="43"/>
    <n v="175"/>
    <n v="347"/>
    <n v="565"/>
    <x v="2"/>
  </r>
  <r>
    <s v="NEET2024100198"/>
    <x v="0"/>
    <x v="192"/>
    <x v="8"/>
    <x v="14"/>
    <x v="0"/>
    <x v="3"/>
    <x v="1"/>
    <n v="170"/>
    <n v="101"/>
    <n v="120"/>
    <n v="391"/>
    <x v="3"/>
  </r>
  <r>
    <s v="NEET2026100199"/>
    <x v="0"/>
    <x v="193"/>
    <x v="1"/>
    <x v="9"/>
    <x v="0"/>
    <x v="2"/>
    <x v="0"/>
    <n v="66"/>
    <n v="80"/>
    <n v="320"/>
    <n v="466"/>
    <x v="1"/>
  </r>
  <r>
    <s v="NEET2024100200"/>
    <x v="0"/>
    <x v="194"/>
    <x v="2"/>
    <x v="9"/>
    <x v="0"/>
    <x v="0"/>
    <x v="3"/>
    <n v="151"/>
    <n v="162"/>
    <n v="293"/>
    <n v="606"/>
    <x v="3"/>
  </r>
  <r>
    <s v="NEET2026100201"/>
    <x v="1"/>
    <x v="195"/>
    <x v="5"/>
    <x v="1"/>
    <x v="0"/>
    <x v="2"/>
    <x v="1"/>
    <n v="106"/>
    <n v="116"/>
    <n v="319"/>
    <n v="541"/>
    <x v="3"/>
  </r>
  <r>
    <s v="NEET2025100202"/>
    <x v="0"/>
    <x v="196"/>
    <x v="3"/>
    <x v="2"/>
    <x v="1"/>
    <x v="3"/>
    <x v="1"/>
    <n v="58"/>
    <n v="136"/>
    <n v="358"/>
    <n v="552"/>
    <x v="1"/>
  </r>
  <r>
    <s v="NEET2026100203"/>
    <x v="0"/>
    <x v="197"/>
    <x v="2"/>
    <x v="11"/>
    <x v="0"/>
    <x v="2"/>
    <x v="2"/>
    <n v="179"/>
    <n v="152"/>
    <n v="147"/>
    <n v="478"/>
    <x v="0"/>
  </r>
  <r>
    <s v="NEET2024100204"/>
    <x v="1"/>
    <x v="198"/>
    <x v="4"/>
    <x v="11"/>
    <x v="0"/>
    <x v="4"/>
    <x v="2"/>
    <n v="142"/>
    <n v="110"/>
    <n v="274"/>
    <n v="526"/>
    <x v="2"/>
  </r>
  <r>
    <s v="NEET2024100205"/>
    <x v="1"/>
    <x v="199"/>
    <x v="2"/>
    <x v="6"/>
    <x v="3"/>
    <x v="0"/>
    <x v="1"/>
    <n v="45"/>
    <n v="65"/>
    <n v="325"/>
    <n v="435"/>
    <x v="2"/>
  </r>
  <r>
    <s v="NEET2025100206"/>
    <x v="1"/>
    <x v="200"/>
    <x v="3"/>
    <x v="7"/>
    <x v="0"/>
    <x v="1"/>
    <x v="1"/>
    <n v="147"/>
    <n v="166"/>
    <n v="235"/>
    <n v="548"/>
    <x v="1"/>
  </r>
  <r>
    <s v="NEET2025100207"/>
    <x v="0"/>
    <x v="201"/>
    <x v="3"/>
    <x v="8"/>
    <x v="0"/>
    <x v="3"/>
    <x v="1"/>
    <n v="106"/>
    <n v="87"/>
    <n v="212"/>
    <n v="405"/>
    <x v="2"/>
  </r>
  <r>
    <s v="NEET2026100208"/>
    <x v="1"/>
    <x v="202"/>
    <x v="6"/>
    <x v="8"/>
    <x v="0"/>
    <x v="1"/>
    <x v="3"/>
    <n v="100"/>
    <n v="103"/>
    <n v="122"/>
    <n v="325"/>
    <x v="3"/>
  </r>
  <r>
    <s v="NEET2025100209"/>
    <x v="1"/>
    <x v="203"/>
    <x v="7"/>
    <x v="3"/>
    <x v="0"/>
    <x v="1"/>
    <x v="2"/>
    <n v="50"/>
    <n v="118"/>
    <n v="286"/>
    <n v="454"/>
    <x v="3"/>
  </r>
  <r>
    <s v="NEET2024100210"/>
    <x v="0"/>
    <x v="204"/>
    <x v="1"/>
    <x v="6"/>
    <x v="3"/>
    <x v="0"/>
    <x v="0"/>
    <n v="99"/>
    <n v="65"/>
    <n v="115"/>
    <n v="279"/>
    <x v="1"/>
  </r>
  <r>
    <s v="NEET2025100211"/>
    <x v="1"/>
    <x v="205"/>
    <x v="0"/>
    <x v="12"/>
    <x v="0"/>
    <x v="1"/>
    <x v="0"/>
    <n v="43"/>
    <n v="55"/>
    <n v="271"/>
    <n v="369"/>
    <x v="0"/>
  </r>
  <r>
    <s v="NEET2026100212"/>
    <x v="0"/>
    <x v="206"/>
    <x v="1"/>
    <x v="10"/>
    <x v="4"/>
    <x v="3"/>
    <x v="3"/>
    <n v="70"/>
    <n v="134"/>
    <n v="303"/>
    <n v="507"/>
    <x v="3"/>
  </r>
  <r>
    <s v="NEET2023100213"/>
    <x v="0"/>
    <x v="207"/>
    <x v="0"/>
    <x v="11"/>
    <x v="0"/>
    <x v="1"/>
    <x v="1"/>
    <n v="52"/>
    <n v="176"/>
    <n v="178"/>
    <n v="406"/>
    <x v="0"/>
  </r>
  <r>
    <s v="NEET2023100214"/>
    <x v="0"/>
    <x v="208"/>
    <x v="6"/>
    <x v="13"/>
    <x v="5"/>
    <x v="0"/>
    <x v="3"/>
    <n v="156"/>
    <n v="77"/>
    <n v="208"/>
    <n v="441"/>
    <x v="0"/>
  </r>
  <r>
    <s v="NEET2026100215"/>
    <x v="0"/>
    <x v="209"/>
    <x v="3"/>
    <x v="3"/>
    <x v="0"/>
    <x v="3"/>
    <x v="1"/>
    <n v="146"/>
    <n v="169"/>
    <n v="328"/>
    <n v="643"/>
    <x v="1"/>
  </r>
  <r>
    <s v="NEET2024100216"/>
    <x v="0"/>
    <x v="210"/>
    <x v="5"/>
    <x v="9"/>
    <x v="0"/>
    <x v="3"/>
    <x v="3"/>
    <n v="71"/>
    <n v="147"/>
    <n v="191"/>
    <n v="409"/>
    <x v="1"/>
  </r>
  <r>
    <s v="NEET2025100217"/>
    <x v="0"/>
    <x v="211"/>
    <x v="4"/>
    <x v="4"/>
    <x v="0"/>
    <x v="2"/>
    <x v="1"/>
    <n v="133"/>
    <n v="139"/>
    <n v="323"/>
    <n v="595"/>
    <x v="1"/>
  </r>
  <r>
    <s v="NEET2025100218"/>
    <x v="1"/>
    <x v="212"/>
    <x v="5"/>
    <x v="14"/>
    <x v="0"/>
    <x v="4"/>
    <x v="2"/>
    <n v="112"/>
    <n v="93"/>
    <n v="63"/>
    <n v="268"/>
    <x v="3"/>
  </r>
  <r>
    <s v="NEET2025100219"/>
    <x v="1"/>
    <x v="213"/>
    <x v="3"/>
    <x v="3"/>
    <x v="0"/>
    <x v="2"/>
    <x v="2"/>
    <n v="179"/>
    <n v="176"/>
    <n v="65"/>
    <n v="420"/>
    <x v="0"/>
  </r>
  <r>
    <s v="NEET2025100220"/>
    <x v="0"/>
    <x v="214"/>
    <x v="8"/>
    <x v="3"/>
    <x v="0"/>
    <x v="3"/>
    <x v="3"/>
    <n v="70"/>
    <n v="133"/>
    <n v="317"/>
    <n v="520"/>
    <x v="1"/>
  </r>
  <r>
    <s v="NEET2025100221"/>
    <x v="1"/>
    <x v="215"/>
    <x v="4"/>
    <x v="7"/>
    <x v="0"/>
    <x v="0"/>
    <x v="1"/>
    <n v="152"/>
    <n v="69"/>
    <n v="292"/>
    <n v="513"/>
    <x v="1"/>
  </r>
  <r>
    <s v="NEET2025100222"/>
    <x v="0"/>
    <x v="216"/>
    <x v="2"/>
    <x v="12"/>
    <x v="0"/>
    <x v="2"/>
    <x v="0"/>
    <n v="50"/>
    <n v="164"/>
    <n v="288"/>
    <n v="502"/>
    <x v="1"/>
  </r>
  <r>
    <s v="NEET2026100223"/>
    <x v="0"/>
    <x v="217"/>
    <x v="1"/>
    <x v="8"/>
    <x v="0"/>
    <x v="0"/>
    <x v="2"/>
    <n v="68"/>
    <n v="72"/>
    <n v="227"/>
    <n v="367"/>
    <x v="2"/>
  </r>
  <r>
    <s v="NEET2026100224"/>
    <x v="0"/>
    <x v="218"/>
    <x v="5"/>
    <x v="10"/>
    <x v="4"/>
    <x v="4"/>
    <x v="1"/>
    <n v="160"/>
    <n v="144"/>
    <n v="88"/>
    <n v="392"/>
    <x v="0"/>
  </r>
  <r>
    <s v="NEET2025100225"/>
    <x v="0"/>
    <x v="219"/>
    <x v="1"/>
    <x v="14"/>
    <x v="0"/>
    <x v="0"/>
    <x v="2"/>
    <n v="108"/>
    <n v="35"/>
    <n v="262"/>
    <n v="405"/>
    <x v="0"/>
  </r>
  <r>
    <s v="NEET2023100226"/>
    <x v="0"/>
    <x v="191"/>
    <x v="7"/>
    <x v="1"/>
    <x v="0"/>
    <x v="2"/>
    <x v="1"/>
    <n v="118"/>
    <n v="46"/>
    <n v="337"/>
    <n v="501"/>
    <x v="3"/>
  </r>
  <r>
    <s v="NEET2026100227"/>
    <x v="1"/>
    <x v="220"/>
    <x v="6"/>
    <x v="7"/>
    <x v="0"/>
    <x v="4"/>
    <x v="1"/>
    <n v="64"/>
    <n v="137"/>
    <n v="251"/>
    <n v="452"/>
    <x v="0"/>
  </r>
  <r>
    <s v="NEET2023100228"/>
    <x v="0"/>
    <x v="221"/>
    <x v="0"/>
    <x v="2"/>
    <x v="1"/>
    <x v="0"/>
    <x v="1"/>
    <n v="168"/>
    <n v="64"/>
    <n v="238"/>
    <n v="470"/>
    <x v="1"/>
  </r>
  <r>
    <s v="NEET2026100229"/>
    <x v="1"/>
    <x v="222"/>
    <x v="2"/>
    <x v="12"/>
    <x v="0"/>
    <x v="1"/>
    <x v="1"/>
    <n v="30"/>
    <n v="35"/>
    <n v="212"/>
    <n v="277"/>
    <x v="1"/>
  </r>
  <r>
    <s v="NEET2023100230"/>
    <x v="0"/>
    <x v="223"/>
    <x v="8"/>
    <x v="9"/>
    <x v="0"/>
    <x v="0"/>
    <x v="1"/>
    <n v="69"/>
    <n v="100"/>
    <n v="156"/>
    <n v="325"/>
    <x v="0"/>
  </r>
  <r>
    <s v="NEET2026100231"/>
    <x v="0"/>
    <x v="224"/>
    <x v="4"/>
    <x v="12"/>
    <x v="0"/>
    <x v="2"/>
    <x v="2"/>
    <n v="47"/>
    <n v="55"/>
    <n v="77"/>
    <n v="179"/>
    <x v="2"/>
  </r>
  <r>
    <s v="NEET2024100232"/>
    <x v="1"/>
    <x v="225"/>
    <x v="8"/>
    <x v="12"/>
    <x v="0"/>
    <x v="0"/>
    <x v="2"/>
    <n v="168"/>
    <n v="85"/>
    <n v="88"/>
    <n v="341"/>
    <x v="3"/>
  </r>
  <r>
    <s v="NEET2024100233"/>
    <x v="0"/>
    <x v="226"/>
    <x v="1"/>
    <x v="4"/>
    <x v="0"/>
    <x v="3"/>
    <x v="1"/>
    <n v="112"/>
    <n v="90"/>
    <n v="214"/>
    <n v="416"/>
    <x v="3"/>
  </r>
  <r>
    <s v="NEET2026100234"/>
    <x v="0"/>
    <x v="118"/>
    <x v="7"/>
    <x v="8"/>
    <x v="0"/>
    <x v="4"/>
    <x v="3"/>
    <n v="74"/>
    <n v="139"/>
    <n v="344"/>
    <n v="557"/>
    <x v="3"/>
  </r>
  <r>
    <s v="NEET2026100235"/>
    <x v="0"/>
    <x v="227"/>
    <x v="0"/>
    <x v="1"/>
    <x v="0"/>
    <x v="1"/>
    <x v="1"/>
    <n v="134"/>
    <n v="68"/>
    <n v="213"/>
    <n v="415"/>
    <x v="1"/>
  </r>
  <r>
    <s v="NEET2026100236"/>
    <x v="1"/>
    <x v="228"/>
    <x v="3"/>
    <x v="5"/>
    <x v="2"/>
    <x v="4"/>
    <x v="2"/>
    <n v="66"/>
    <n v="148"/>
    <n v="89"/>
    <n v="303"/>
    <x v="1"/>
  </r>
  <r>
    <s v="NEET2025100237"/>
    <x v="0"/>
    <x v="229"/>
    <x v="4"/>
    <x v="12"/>
    <x v="0"/>
    <x v="2"/>
    <x v="2"/>
    <n v="114"/>
    <n v="50"/>
    <n v="290"/>
    <n v="454"/>
    <x v="3"/>
  </r>
  <r>
    <s v="NEET2024100238"/>
    <x v="1"/>
    <x v="230"/>
    <x v="6"/>
    <x v="2"/>
    <x v="1"/>
    <x v="3"/>
    <x v="2"/>
    <n v="40"/>
    <n v="48"/>
    <n v="156"/>
    <n v="244"/>
    <x v="3"/>
  </r>
  <r>
    <s v="NEET2024100239"/>
    <x v="0"/>
    <x v="231"/>
    <x v="7"/>
    <x v="12"/>
    <x v="0"/>
    <x v="1"/>
    <x v="1"/>
    <n v="78"/>
    <n v="60"/>
    <n v="305"/>
    <n v="443"/>
    <x v="3"/>
  </r>
  <r>
    <s v="NEET2025100240"/>
    <x v="1"/>
    <x v="232"/>
    <x v="2"/>
    <x v="3"/>
    <x v="0"/>
    <x v="3"/>
    <x v="3"/>
    <n v="127"/>
    <n v="149"/>
    <n v="333"/>
    <n v="609"/>
    <x v="2"/>
  </r>
  <r>
    <s v="NEET2025100241"/>
    <x v="1"/>
    <x v="233"/>
    <x v="8"/>
    <x v="0"/>
    <x v="0"/>
    <x v="2"/>
    <x v="1"/>
    <n v="150"/>
    <n v="111"/>
    <n v="164"/>
    <n v="425"/>
    <x v="1"/>
  </r>
  <r>
    <s v="NEET2026100242"/>
    <x v="1"/>
    <x v="234"/>
    <x v="2"/>
    <x v="7"/>
    <x v="0"/>
    <x v="1"/>
    <x v="2"/>
    <n v="34"/>
    <n v="96"/>
    <n v="343"/>
    <n v="473"/>
    <x v="3"/>
  </r>
  <r>
    <s v="NEET2025100243"/>
    <x v="1"/>
    <x v="235"/>
    <x v="4"/>
    <x v="1"/>
    <x v="0"/>
    <x v="4"/>
    <x v="1"/>
    <n v="175"/>
    <n v="92"/>
    <n v="315"/>
    <n v="582"/>
    <x v="2"/>
  </r>
  <r>
    <s v="NEET2026100244"/>
    <x v="0"/>
    <x v="236"/>
    <x v="4"/>
    <x v="6"/>
    <x v="3"/>
    <x v="0"/>
    <x v="0"/>
    <n v="120"/>
    <n v="73"/>
    <n v="131"/>
    <n v="324"/>
    <x v="0"/>
  </r>
  <r>
    <s v="NEET2024100245"/>
    <x v="0"/>
    <x v="237"/>
    <x v="7"/>
    <x v="5"/>
    <x v="2"/>
    <x v="1"/>
    <x v="0"/>
    <n v="42"/>
    <n v="31"/>
    <n v="271"/>
    <n v="344"/>
    <x v="0"/>
  </r>
  <r>
    <s v="NEET2026100246"/>
    <x v="1"/>
    <x v="238"/>
    <x v="4"/>
    <x v="8"/>
    <x v="0"/>
    <x v="2"/>
    <x v="0"/>
    <n v="146"/>
    <n v="125"/>
    <n v="90"/>
    <n v="361"/>
    <x v="2"/>
  </r>
  <r>
    <s v="NEET2025100247"/>
    <x v="0"/>
    <x v="239"/>
    <x v="7"/>
    <x v="11"/>
    <x v="0"/>
    <x v="1"/>
    <x v="1"/>
    <n v="165"/>
    <n v="100"/>
    <n v="334"/>
    <n v="599"/>
    <x v="0"/>
  </r>
  <r>
    <s v="NEET2025100248"/>
    <x v="1"/>
    <x v="240"/>
    <x v="5"/>
    <x v="8"/>
    <x v="0"/>
    <x v="4"/>
    <x v="3"/>
    <n v="68"/>
    <n v="91"/>
    <n v="158"/>
    <n v="317"/>
    <x v="0"/>
  </r>
  <r>
    <s v="NEET2024100249"/>
    <x v="1"/>
    <x v="241"/>
    <x v="6"/>
    <x v="1"/>
    <x v="0"/>
    <x v="2"/>
    <x v="0"/>
    <n v="147"/>
    <n v="174"/>
    <n v="184"/>
    <n v="505"/>
    <x v="0"/>
  </r>
  <r>
    <s v="NEET2023100250"/>
    <x v="0"/>
    <x v="242"/>
    <x v="6"/>
    <x v="1"/>
    <x v="0"/>
    <x v="2"/>
    <x v="2"/>
    <n v="126"/>
    <n v="171"/>
    <n v="303"/>
    <n v="600"/>
    <x v="2"/>
  </r>
  <r>
    <s v="NEET2023100251"/>
    <x v="0"/>
    <x v="243"/>
    <x v="6"/>
    <x v="2"/>
    <x v="1"/>
    <x v="0"/>
    <x v="2"/>
    <n v="114"/>
    <n v="174"/>
    <n v="108"/>
    <n v="396"/>
    <x v="2"/>
  </r>
  <r>
    <s v="NEET2023100252"/>
    <x v="0"/>
    <x v="244"/>
    <x v="3"/>
    <x v="11"/>
    <x v="0"/>
    <x v="2"/>
    <x v="3"/>
    <n v="49"/>
    <n v="101"/>
    <n v="338"/>
    <n v="488"/>
    <x v="1"/>
  </r>
  <r>
    <s v="NEET2024100253"/>
    <x v="0"/>
    <x v="245"/>
    <x v="1"/>
    <x v="7"/>
    <x v="0"/>
    <x v="0"/>
    <x v="1"/>
    <n v="131"/>
    <n v="49"/>
    <n v="213"/>
    <n v="393"/>
    <x v="3"/>
  </r>
  <r>
    <s v="NEET2025100254"/>
    <x v="0"/>
    <x v="246"/>
    <x v="6"/>
    <x v="13"/>
    <x v="5"/>
    <x v="4"/>
    <x v="0"/>
    <n v="65"/>
    <n v="50"/>
    <n v="316"/>
    <n v="431"/>
    <x v="1"/>
  </r>
  <r>
    <s v="NEET2025100255"/>
    <x v="1"/>
    <x v="247"/>
    <x v="7"/>
    <x v="9"/>
    <x v="0"/>
    <x v="1"/>
    <x v="1"/>
    <n v="131"/>
    <n v="113"/>
    <n v="75"/>
    <n v="319"/>
    <x v="3"/>
  </r>
  <r>
    <s v="NEET2026100256"/>
    <x v="0"/>
    <x v="248"/>
    <x v="1"/>
    <x v="1"/>
    <x v="0"/>
    <x v="1"/>
    <x v="3"/>
    <n v="140"/>
    <n v="77"/>
    <n v="359"/>
    <n v="576"/>
    <x v="0"/>
  </r>
  <r>
    <s v="NEET2026100257"/>
    <x v="1"/>
    <x v="249"/>
    <x v="5"/>
    <x v="3"/>
    <x v="0"/>
    <x v="2"/>
    <x v="3"/>
    <n v="69"/>
    <n v="127"/>
    <n v="138"/>
    <n v="334"/>
    <x v="0"/>
  </r>
  <r>
    <s v="NEET2023100258"/>
    <x v="0"/>
    <x v="250"/>
    <x v="7"/>
    <x v="3"/>
    <x v="0"/>
    <x v="1"/>
    <x v="0"/>
    <n v="143"/>
    <n v="122"/>
    <n v="198"/>
    <n v="463"/>
    <x v="2"/>
  </r>
  <r>
    <s v="NEET2023100259"/>
    <x v="0"/>
    <x v="251"/>
    <x v="8"/>
    <x v="8"/>
    <x v="0"/>
    <x v="3"/>
    <x v="0"/>
    <n v="172"/>
    <n v="161"/>
    <n v="268"/>
    <n v="601"/>
    <x v="0"/>
  </r>
  <r>
    <s v="NEET2025100260"/>
    <x v="1"/>
    <x v="252"/>
    <x v="1"/>
    <x v="4"/>
    <x v="0"/>
    <x v="2"/>
    <x v="1"/>
    <n v="113"/>
    <n v="128"/>
    <n v="66"/>
    <n v="307"/>
    <x v="1"/>
  </r>
  <r>
    <s v="NEET2024100261"/>
    <x v="1"/>
    <x v="253"/>
    <x v="1"/>
    <x v="8"/>
    <x v="0"/>
    <x v="3"/>
    <x v="3"/>
    <n v="73"/>
    <n v="127"/>
    <n v="146"/>
    <n v="346"/>
    <x v="2"/>
  </r>
  <r>
    <s v="NEET2026100262"/>
    <x v="1"/>
    <x v="254"/>
    <x v="5"/>
    <x v="0"/>
    <x v="0"/>
    <x v="2"/>
    <x v="1"/>
    <n v="72"/>
    <n v="141"/>
    <n v="201"/>
    <n v="414"/>
    <x v="3"/>
  </r>
  <r>
    <s v="NEET2023100263"/>
    <x v="0"/>
    <x v="255"/>
    <x v="4"/>
    <x v="12"/>
    <x v="0"/>
    <x v="2"/>
    <x v="3"/>
    <n v="156"/>
    <n v="80"/>
    <n v="294"/>
    <n v="530"/>
    <x v="2"/>
  </r>
  <r>
    <s v="NEET2025100264"/>
    <x v="1"/>
    <x v="256"/>
    <x v="3"/>
    <x v="5"/>
    <x v="2"/>
    <x v="3"/>
    <x v="2"/>
    <n v="127"/>
    <n v="114"/>
    <n v="285"/>
    <n v="526"/>
    <x v="3"/>
  </r>
  <r>
    <s v="NEET2024100265"/>
    <x v="1"/>
    <x v="257"/>
    <x v="1"/>
    <x v="6"/>
    <x v="3"/>
    <x v="3"/>
    <x v="3"/>
    <n v="81"/>
    <n v="152"/>
    <n v="220"/>
    <n v="453"/>
    <x v="2"/>
  </r>
  <r>
    <s v="NEET2025100266"/>
    <x v="1"/>
    <x v="258"/>
    <x v="1"/>
    <x v="13"/>
    <x v="5"/>
    <x v="2"/>
    <x v="3"/>
    <n v="92"/>
    <n v="113"/>
    <n v="252"/>
    <n v="457"/>
    <x v="1"/>
  </r>
  <r>
    <s v="NEET2026100267"/>
    <x v="0"/>
    <x v="259"/>
    <x v="1"/>
    <x v="8"/>
    <x v="0"/>
    <x v="3"/>
    <x v="1"/>
    <n v="76"/>
    <n v="170"/>
    <n v="73"/>
    <n v="319"/>
    <x v="0"/>
  </r>
  <r>
    <s v="NEET2025100268"/>
    <x v="0"/>
    <x v="260"/>
    <x v="9"/>
    <x v="13"/>
    <x v="5"/>
    <x v="1"/>
    <x v="3"/>
    <n v="134"/>
    <n v="157"/>
    <n v="131"/>
    <n v="422"/>
    <x v="2"/>
  </r>
  <r>
    <s v="NEET2026100269"/>
    <x v="1"/>
    <x v="261"/>
    <x v="2"/>
    <x v="1"/>
    <x v="0"/>
    <x v="3"/>
    <x v="0"/>
    <n v="48"/>
    <n v="144"/>
    <n v="305"/>
    <n v="497"/>
    <x v="0"/>
  </r>
  <r>
    <s v="NEET2023100270"/>
    <x v="1"/>
    <x v="262"/>
    <x v="5"/>
    <x v="13"/>
    <x v="5"/>
    <x v="4"/>
    <x v="3"/>
    <n v="93"/>
    <n v="120"/>
    <n v="145"/>
    <n v="358"/>
    <x v="0"/>
  </r>
  <r>
    <s v="NEET2024100271"/>
    <x v="1"/>
    <x v="263"/>
    <x v="7"/>
    <x v="0"/>
    <x v="0"/>
    <x v="4"/>
    <x v="3"/>
    <n v="96"/>
    <n v="86"/>
    <n v="321"/>
    <n v="503"/>
    <x v="2"/>
  </r>
  <r>
    <s v="NEET2025100272"/>
    <x v="0"/>
    <x v="264"/>
    <x v="2"/>
    <x v="2"/>
    <x v="1"/>
    <x v="2"/>
    <x v="1"/>
    <n v="180"/>
    <n v="158"/>
    <n v="137"/>
    <n v="475"/>
    <x v="3"/>
  </r>
  <r>
    <s v="NEET2025100273"/>
    <x v="1"/>
    <x v="54"/>
    <x v="6"/>
    <x v="10"/>
    <x v="4"/>
    <x v="4"/>
    <x v="3"/>
    <n v="51"/>
    <n v="59"/>
    <n v="132"/>
    <n v="242"/>
    <x v="1"/>
  </r>
  <r>
    <s v="NEET2026100274"/>
    <x v="1"/>
    <x v="265"/>
    <x v="8"/>
    <x v="14"/>
    <x v="0"/>
    <x v="2"/>
    <x v="3"/>
    <n v="119"/>
    <n v="151"/>
    <n v="109"/>
    <n v="379"/>
    <x v="3"/>
  </r>
  <r>
    <s v="NEET2023100275"/>
    <x v="0"/>
    <x v="266"/>
    <x v="7"/>
    <x v="13"/>
    <x v="5"/>
    <x v="0"/>
    <x v="2"/>
    <n v="59"/>
    <n v="35"/>
    <n v="235"/>
    <n v="329"/>
    <x v="1"/>
  </r>
  <r>
    <s v="NEET2026100276"/>
    <x v="0"/>
    <x v="267"/>
    <x v="1"/>
    <x v="7"/>
    <x v="0"/>
    <x v="1"/>
    <x v="1"/>
    <n v="114"/>
    <n v="173"/>
    <n v="278"/>
    <n v="565"/>
    <x v="1"/>
  </r>
  <r>
    <s v="NEET2024100277"/>
    <x v="1"/>
    <x v="268"/>
    <x v="0"/>
    <x v="2"/>
    <x v="1"/>
    <x v="4"/>
    <x v="1"/>
    <n v="140"/>
    <n v="131"/>
    <n v="74"/>
    <n v="345"/>
    <x v="0"/>
  </r>
  <r>
    <s v="NEET2023100278"/>
    <x v="0"/>
    <x v="269"/>
    <x v="2"/>
    <x v="12"/>
    <x v="0"/>
    <x v="3"/>
    <x v="3"/>
    <n v="82"/>
    <n v="101"/>
    <n v="92"/>
    <n v="275"/>
    <x v="1"/>
  </r>
  <r>
    <s v="NEET2025100279"/>
    <x v="1"/>
    <x v="270"/>
    <x v="8"/>
    <x v="0"/>
    <x v="0"/>
    <x v="0"/>
    <x v="1"/>
    <n v="97"/>
    <n v="155"/>
    <n v="330"/>
    <n v="582"/>
    <x v="0"/>
  </r>
  <r>
    <s v="NEET2023100280"/>
    <x v="0"/>
    <x v="271"/>
    <x v="6"/>
    <x v="9"/>
    <x v="0"/>
    <x v="2"/>
    <x v="3"/>
    <n v="147"/>
    <n v="74"/>
    <n v="212"/>
    <n v="433"/>
    <x v="1"/>
  </r>
  <r>
    <s v="NEET2026100281"/>
    <x v="1"/>
    <x v="78"/>
    <x v="3"/>
    <x v="0"/>
    <x v="0"/>
    <x v="0"/>
    <x v="2"/>
    <n v="76"/>
    <n v="125"/>
    <n v="132"/>
    <n v="333"/>
    <x v="2"/>
  </r>
  <r>
    <s v="NEET2024100282"/>
    <x v="1"/>
    <x v="272"/>
    <x v="6"/>
    <x v="7"/>
    <x v="0"/>
    <x v="1"/>
    <x v="3"/>
    <n v="154"/>
    <n v="167"/>
    <n v="148"/>
    <n v="469"/>
    <x v="1"/>
  </r>
  <r>
    <s v="NEET2023100283"/>
    <x v="1"/>
    <x v="273"/>
    <x v="3"/>
    <x v="5"/>
    <x v="2"/>
    <x v="1"/>
    <x v="2"/>
    <n v="145"/>
    <n v="43"/>
    <n v="243"/>
    <n v="431"/>
    <x v="2"/>
  </r>
  <r>
    <s v="NEET2026100284"/>
    <x v="1"/>
    <x v="274"/>
    <x v="1"/>
    <x v="8"/>
    <x v="0"/>
    <x v="1"/>
    <x v="1"/>
    <n v="156"/>
    <n v="134"/>
    <n v="311"/>
    <n v="601"/>
    <x v="0"/>
  </r>
  <r>
    <s v="NEET2025100285"/>
    <x v="0"/>
    <x v="275"/>
    <x v="1"/>
    <x v="11"/>
    <x v="0"/>
    <x v="1"/>
    <x v="3"/>
    <n v="86"/>
    <n v="104"/>
    <n v="76"/>
    <n v="266"/>
    <x v="2"/>
  </r>
  <r>
    <s v="NEET2023100286"/>
    <x v="0"/>
    <x v="276"/>
    <x v="1"/>
    <x v="6"/>
    <x v="3"/>
    <x v="0"/>
    <x v="3"/>
    <n v="156"/>
    <n v="170"/>
    <n v="321"/>
    <n v="647"/>
    <x v="3"/>
  </r>
  <r>
    <s v="NEET2024100287"/>
    <x v="1"/>
    <x v="277"/>
    <x v="1"/>
    <x v="5"/>
    <x v="2"/>
    <x v="1"/>
    <x v="0"/>
    <n v="40"/>
    <n v="142"/>
    <n v="339"/>
    <n v="521"/>
    <x v="3"/>
  </r>
  <r>
    <s v="NEET2026100288"/>
    <x v="0"/>
    <x v="278"/>
    <x v="7"/>
    <x v="14"/>
    <x v="0"/>
    <x v="1"/>
    <x v="2"/>
    <n v="97"/>
    <n v="119"/>
    <n v="104"/>
    <n v="320"/>
    <x v="3"/>
  </r>
  <r>
    <s v="NEET2024100289"/>
    <x v="0"/>
    <x v="279"/>
    <x v="2"/>
    <x v="4"/>
    <x v="0"/>
    <x v="0"/>
    <x v="0"/>
    <n v="139"/>
    <n v="72"/>
    <n v="131"/>
    <n v="342"/>
    <x v="3"/>
  </r>
  <r>
    <s v="NEET2025100290"/>
    <x v="1"/>
    <x v="280"/>
    <x v="1"/>
    <x v="3"/>
    <x v="0"/>
    <x v="0"/>
    <x v="3"/>
    <n v="167"/>
    <n v="73"/>
    <n v="225"/>
    <n v="465"/>
    <x v="0"/>
  </r>
  <r>
    <s v="NEET2024100291"/>
    <x v="0"/>
    <x v="281"/>
    <x v="5"/>
    <x v="13"/>
    <x v="5"/>
    <x v="1"/>
    <x v="2"/>
    <n v="135"/>
    <n v="45"/>
    <n v="201"/>
    <n v="381"/>
    <x v="3"/>
  </r>
  <r>
    <s v="NEET2025100292"/>
    <x v="1"/>
    <x v="282"/>
    <x v="4"/>
    <x v="13"/>
    <x v="5"/>
    <x v="4"/>
    <x v="1"/>
    <n v="130"/>
    <n v="155"/>
    <n v="132"/>
    <n v="417"/>
    <x v="0"/>
  </r>
  <r>
    <s v="NEET2025100293"/>
    <x v="1"/>
    <x v="283"/>
    <x v="0"/>
    <x v="13"/>
    <x v="5"/>
    <x v="4"/>
    <x v="1"/>
    <n v="53"/>
    <n v="133"/>
    <n v="323"/>
    <n v="509"/>
    <x v="3"/>
  </r>
  <r>
    <s v="NEET2023100294"/>
    <x v="1"/>
    <x v="284"/>
    <x v="1"/>
    <x v="11"/>
    <x v="0"/>
    <x v="4"/>
    <x v="2"/>
    <n v="53"/>
    <n v="147"/>
    <n v="243"/>
    <n v="443"/>
    <x v="1"/>
  </r>
  <r>
    <s v="NEET2024100295"/>
    <x v="1"/>
    <x v="285"/>
    <x v="8"/>
    <x v="3"/>
    <x v="0"/>
    <x v="2"/>
    <x v="3"/>
    <n v="112"/>
    <n v="102"/>
    <n v="232"/>
    <n v="446"/>
    <x v="0"/>
  </r>
  <r>
    <s v="NEET2024100296"/>
    <x v="1"/>
    <x v="286"/>
    <x v="5"/>
    <x v="2"/>
    <x v="1"/>
    <x v="2"/>
    <x v="1"/>
    <n v="147"/>
    <n v="34"/>
    <n v="123"/>
    <n v="304"/>
    <x v="2"/>
  </r>
  <r>
    <s v="NEET2025100297"/>
    <x v="0"/>
    <x v="287"/>
    <x v="4"/>
    <x v="6"/>
    <x v="3"/>
    <x v="3"/>
    <x v="3"/>
    <n v="63"/>
    <n v="107"/>
    <n v="141"/>
    <n v="311"/>
    <x v="0"/>
  </r>
  <r>
    <s v="NEET2025100298"/>
    <x v="0"/>
    <x v="288"/>
    <x v="6"/>
    <x v="2"/>
    <x v="1"/>
    <x v="2"/>
    <x v="1"/>
    <n v="72"/>
    <n v="43"/>
    <n v="262"/>
    <n v="377"/>
    <x v="0"/>
  </r>
  <r>
    <s v="NEET2024100299"/>
    <x v="1"/>
    <x v="289"/>
    <x v="7"/>
    <x v="12"/>
    <x v="0"/>
    <x v="2"/>
    <x v="0"/>
    <n v="152"/>
    <n v="49"/>
    <n v="127"/>
    <n v="328"/>
    <x v="3"/>
  </r>
  <r>
    <s v="NEET2023100300"/>
    <x v="0"/>
    <x v="290"/>
    <x v="5"/>
    <x v="5"/>
    <x v="2"/>
    <x v="2"/>
    <x v="1"/>
    <n v="138"/>
    <n v="63"/>
    <n v="304"/>
    <n v="505"/>
    <x v="0"/>
  </r>
  <r>
    <s v="NEET2026100301"/>
    <x v="0"/>
    <x v="291"/>
    <x v="5"/>
    <x v="9"/>
    <x v="0"/>
    <x v="2"/>
    <x v="2"/>
    <n v="124"/>
    <n v="106"/>
    <n v="130"/>
    <n v="360"/>
    <x v="0"/>
  </r>
  <r>
    <s v="NEET2024100302"/>
    <x v="0"/>
    <x v="292"/>
    <x v="1"/>
    <x v="2"/>
    <x v="1"/>
    <x v="0"/>
    <x v="1"/>
    <n v="72"/>
    <n v="142"/>
    <n v="239"/>
    <n v="453"/>
    <x v="2"/>
  </r>
  <r>
    <s v="NEET2026100303"/>
    <x v="1"/>
    <x v="293"/>
    <x v="4"/>
    <x v="0"/>
    <x v="0"/>
    <x v="3"/>
    <x v="1"/>
    <n v="55"/>
    <n v="65"/>
    <n v="123"/>
    <n v="243"/>
    <x v="1"/>
  </r>
  <r>
    <s v="NEET2025100304"/>
    <x v="0"/>
    <x v="294"/>
    <x v="4"/>
    <x v="3"/>
    <x v="0"/>
    <x v="1"/>
    <x v="3"/>
    <n v="51"/>
    <n v="93"/>
    <n v="343"/>
    <n v="487"/>
    <x v="1"/>
  </r>
  <r>
    <s v="NEET2026100305"/>
    <x v="1"/>
    <x v="295"/>
    <x v="2"/>
    <x v="1"/>
    <x v="0"/>
    <x v="1"/>
    <x v="0"/>
    <n v="105"/>
    <n v="43"/>
    <n v="182"/>
    <n v="330"/>
    <x v="2"/>
  </r>
  <r>
    <s v="NEET2025100306"/>
    <x v="1"/>
    <x v="205"/>
    <x v="0"/>
    <x v="4"/>
    <x v="0"/>
    <x v="4"/>
    <x v="2"/>
    <n v="48"/>
    <n v="165"/>
    <n v="66"/>
    <n v="279"/>
    <x v="2"/>
  </r>
  <r>
    <s v="NEET2023100307"/>
    <x v="0"/>
    <x v="296"/>
    <x v="6"/>
    <x v="8"/>
    <x v="0"/>
    <x v="3"/>
    <x v="0"/>
    <n v="74"/>
    <n v="150"/>
    <n v="97"/>
    <n v="321"/>
    <x v="1"/>
  </r>
  <r>
    <s v="NEET2025100308"/>
    <x v="1"/>
    <x v="297"/>
    <x v="7"/>
    <x v="10"/>
    <x v="4"/>
    <x v="4"/>
    <x v="1"/>
    <n v="45"/>
    <n v="131"/>
    <n v="319"/>
    <n v="495"/>
    <x v="0"/>
  </r>
  <r>
    <s v="NEET2023100309"/>
    <x v="1"/>
    <x v="268"/>
    <x v="0"/>
    <x v="8"/>
    <x v="0"/>
    <x v="0"/>
    <x v="0"/>
    <n v="167"/>
    <n v="69"/>
    <n v="202"/>
    <n v="438"/>
    <x v="1"/>
  </r>
  <r>
    <s v="NEET2023100310"/>
    <x v="1"/>
    <x v="298"/>
    <x v="5"/>
    <x v="8"/>
    <x v="0"/>
    <x v="1"/>
    <x v="1"/>
    <n v="113"/>
    <n v="130"/>
    <n v="360"/>
    <n v="603"/>
    <x v="0"/>
  </r>
  <r>
    <s v="NEET2023100311"/>
    <x v="1"/>
    <x v="299"/>
    <x v="4"/>
    <x v="0"/>
    <x v="0"/>
    <x v="2"/>
    <x v="2"/>
    <n v="141"/>
    <n v="59"/>
    <n v="292"/>
    <n v="492"/>
    <x v="0"/>
  </r>
  <r>
    <s v="NEET2025100312"/>
    <x v="1"/>
    <x v="300"/>
    <x v="2"/>
    <x v="7"/>
    <x v="0"/>
    <x v="3"/>
    <x v="2"/>
    <n v="32"/>
    <n v="71"/>
    <n v="314"/>
    <n v="417"/>
    <x v="1"/>
  </r>
  <r>
    <s v="NEET2025100313"/>
    <x v="1"/>
    <x v="301"/>
    <x v="2"/>
    <x v="13"/>
    <x v="5"/>
    <x v="0"/>
    <x v="3"/>
    <n v="98"/>
    <n v="60"/>
    <n v="75"/>
    <n v="233"/>
    <x v="0"/>
  </r>
  <r>
    <s v="NEET2026100314"/>
    <x v="1"/>
    <x v="302"/>
    <x v="3"/>
    <x v="6"/>
    <x v="3"/>
    <x v="4"/>
    <x v="0"/>
    <n v="177"/>
    <n v="49"/>
    <n v="314"/>
    <n v="540"/>
    <x v="1"/>
  </r>
  <r>
    <s v="NEET2023100315"/>
    <x v="0"/>
    <x v="303"/>
    <x v="6"/>
    <x v="7"/>
    <x v="0"/>
    <x v="2"/>
    <x v="0"/>
    <n v="95"/>
    <n v="56"/>
    <n v="353"/>
    <n v="504"/>
    <x v="0"/>
  </r>
  <r>
    <s v="NEET2024100316"/>
    <x v="0"/>
    <x v="299"/>
    <x v="4"/>
    <x v="11"/>
    <x v="0"/>
    <x v="0"/>
    <x v="0"/>
    <n v="150"/>
    <n v="123"/>
    <n v="256"/>
    <n v="529"/>
    <x v="2"/>
  </r>
  <r>
    <s v="NEET2025100317"/>
    <x v="0"/>
    <x v="304"/>
    <x v="4"/>
    <x v="9"/>
    <x v="0"/>
    <x v="2"/>
    <x v="3"/>
    <n v="93"/>
    <n v="136"/>
    <n v="223"/>
    <n v="452"/>
    <x v="0"/>
  </r>
  <r>
    <s v="NEET2023100318"/>
    <x v="1"/>
    <x v="305"/>
    <x v="4"/>
    <x v="12"/>
    <x v="0"/>
    <x v="3"/>
    <x v="3"/>
    <n v="162"/>
    <n v="41"/>
    <n v="265"/>
    <n v="468"/>
    <x v="3"/>
  </r>
  <r>
    <s v="NEET2024100319"/>
    <x v="1"/>
    <x v="306"/>
    <x v="5"/>
    <x v="8"/>
    <x v="0"/>
    <x v="0"/>
    <x v="3"/>
    <n v="146"/>
    <n v="32"/>
    <n v="248"/>
    <n v="426"/>
    <x v="1"/>
  </r>
  <r>
    <s v="NEET2024100320"/>
    <x v="0"/>
    <x v="307"/>
    <x v="8"/>
    <x v="9"/>
    <x v="0"/>
    <x v="4"/>
    <x v="0"/>
    <n v="156"/>
    <n v="80"/>
    <n v="339"/>
    <n v="575"/>
    <x v="0"/>
  </r>
  <r>
    <s v="NEET2023100321"/>
    <x v="1"/>
    <x v="308"/>
    <x v="4"/>
    <x v="8"/>
    <x v="0"/>
    <x v="2"/>
    <x v="3"/>
    <n v="118"/>
    <n v="32"/>
    <n v="231"/>
    <n v="381"/>
    <x v="1"/>
  </r>
  <r>
    <s v="NEET2024100322"/>
    <x v="1"/>
    <x v="309"/>
    <x v="1"/>
    <x v="12"/>
    <x v="0"/>
    <x v="2"/>
    <x v="0"/>
    <n v="137"/>
    <n v="155"/>
    <n v="90"/>
    <n v="382"/>
    <x v="1"/>
  </r>
  <r>
    <s v="NEET2023100323"/>
    <x v="0"/>
    <x v="310"/>
    <x v="8"/>
    <x v="1"/>
    <x v="0"/>
    <x v="2"/>
    <x v="1"/>
    <n v="125"/>
    <n v="147"/>
    <n v="103"/>
    <n v="375"/>
    <x v="0"/>
  </r>
  <r>
    <s v="NEET2025100324"/>
    <x v="1"/>
    <x v="311"/>
    <x v="6"/>
    <x v="2"/>
    <x v="1"/>
    <x v="3"/>
    <x v="1"/>
    <n v="63"/>
    <n v="90"/>
    <n v="209"/>
    <n v="362"/>
    <x v="3"/>
  </r>
  <r>
    <s v="NEET2024100325"/>
    <x v="0"/>
    <x v="312"/>
    <x v="8"/>
    <x v="3"/>
    <x v="0"/>
    <x v="2"/>
    <x v="2"/>
    <n v="89"/>
    <n v="49"/>
    <n v="163"/>
    <n v="301"/>
    <x v="1"/>
  </r>
  <r>
    <s v="NEET2025100326"/>
    <x v="0"/>
    <x v="313"/>
    <x v="8"/>
    <x v="14"/>
    <x v="0"/>
    <x v="3"/>
    <x v="1"/>
    <n v="110"/>
    <n v="134"/>
    <n v="121"/>
    <n v="365"/>
    <x v="2"/>
  </r>
  <r>
    <s v="NEET2025100327"/>
    <x v="0"/>
    <x v="314"/>
    <x v="3"/>
    <x v="5"/>
    <x v="2"/>
    <x v="3"/>
    <x v="2"/>
    <n v="60"/>
    <n v="53"/>
    <n v="140"/>
    <n v="253"/>
    <x v="1"/>
  </r>
  <r>
    <s v="NEET2023100328"/>
    <x v="1"/>
    <x v="315"/>
    <x v="5"/>
    <x v="6"/>
    <x v="3"/>
    <x v="1"/>
    <x v="3"/>
    <n v="93"/>
    <n v="121"/>
    <n v="262"/>
    <n v="476"/>
    <x v="0"/>
  </r>
  <r>
    <s v="NEET2024100329"/>
    <x v="0"/>
    <x v="70"/>
    <x v="6"/>
    <x v="5"/>
    <x v="2"/>
    <x v="2"/>
    <x v="1"/>
    <n v="145"/>
    <n v="172"/>
    <n v="341"/>
    <n v="658"/>
    <x v="1"/>
  </r>
  <r>
    <s v="NEET2024100330"/>
    <x v="1"/>
    <x v="50"/>
    <x v="5"/>
    <x v="11"/>
    <x v="0"/>
    <x v="2"/>
    <x v="3"/>
    <n v="45"/>
    <n v="86"/>
    <n v="126"/>
    <n v="257"/>
    <x v="3"/>
  </r>
  <r>
    <s v="NEET2024100331"/>
    <x v="0"/>
    <x v="316"/>
    <x v="7"/>
    <x v="11"/>
    <x v="0"/>
    <x v="2"/>
    <x v="3"/>
    <n v="46"/>
    <n v="80"/>
    <n v="287"/>
    <n v="413"/>
    <x v="0"/>
  </r>
  <r>
    <s v="NEET2026100332"/>
    <x v="1"/>
    <x v="317"/>
    <x v="8"/>
    <x v="11"/>
    <x v="0"/>
    <x v="4"/>
    <x v="0"/>
    <n v="73"/>
    <n v="176"/>
    <n v="281"/>
    <n v="530"/>
    <x v="2"/>
  </r>
  <r>
    <s v="NEET2025100333"/>
    <x v="1"/>
    <x v="318"/>
    <x v="4"/>
    <x v="9"/>
    <x v="0"/>
    <x v="2"/>
    <x v="2"/>
    <n v="84"/>
    <n v="77"/>
    <n v="200"/>
    <n v="361"/>
    <x v="1"/>
  </r>
  <r>
    <s v="NEET2026100334"/>
    <x v="0"/>
    <x v="319"/>
    <x v="0"/>
    <x v="3"/>
    <x v="0"/>
    <x v="3"/>
    <x v="0"/>
    <n v="157"/>
    <n v="135"/>
    <n v="341"/>
    <n v="633"/>
    <x v="2"/>
  </r>
  <r>
    <s v="NEET2023100335"/>
    <x v="1"/>
    <x v="320"/>
    <x v="5"/>
    <x v="1"/>
    <x v="0"/>
    <x v="4"/>
    <x v="3"/>
    <n v="81"/>
    <n v="164"/>
    <n v="187"/>
    <n v="432"/>
    <x v="2"/>
  </r>
  <r>
    <s v="NEET2026100336"/>
    <x v="1"/>
    <x v="321"/>
    <x v="3"/>
    <x v="10"/>
    <x v="4"/>
    <x v="2"/>
    <x v="2"/>
    <n v="174"/>
    <n v="158"/>
    <n v="224"/>
    <n v="556"/>
    <x v="3"/>
  </r>
  <r>
    <s v="NEET2026100337"/>
    <x v="1"/>
    <x v="252"/>
    <x v="1"/>
    <x v="12"/>
    <x v="0"/>
    <x v="1"/>
    <x v="2"/>
    <n v="37"/>
    <n v="101"/>
    <n v="89"/>
    <n v="227"/>
    <x v="0"/>
  </r>
  <r>
    <s v="NEET2023100338"/>
    <x v="0"/>
    <x v="322"/>
    <x v="4"/>
    <x v="2"/>
    <x v="1"/>
    <x v="3"/>
    <x v="1"/>
    <n v="91"/>
    <n v="98"/>
    <n v="333"/>
    <n v="522"/>
    <x v="1"/>
  </r>
  <r>
    <s v="NEET2025100339"/>
    <x v="0"/>
    <x v="323"/>
    <x v="4"/>
    <x v="12"/>
    <x v="0"/>
    <x v="4"/>
    <x v="2"/>
    <n v="111"/>
    <n v="121"/>
    <n v="74"/>
    <n v="306"/>
    <x v="3"/>
  </r>
  <r>
    <s v="NEET2024100340"/>
    <x v="0"/>
    <x v="133"/>
    <x v="4"/>
    <x v="14"/>
    <x v="0"/>
    <x v="0"/>
    <x v="0"/>
    <n v="39"/>
    <n v="53"/>
    <n v="88"/>
    <n v="180"/>
    <x v="2"/>
  </r>
  <r>
    <s v="NEET2024100341"/>
    <x v="1"/>
    <x v="324"/>
    <x v="7"/>
    <x v="9"/>
    <x v="0"/>
    <x v="2"/>
    <x v="0"/>
    <n v="81"/>
    <n v="63"/>
    <n v="234"/>
    <n v="378"/>
    <x v="1"/>
  </r>
  <r>
    <s v="NEET2025100342"/>
    <x v="0"/>
    <x v="325"/>
    <x v="1"/>
    <x v="6"/>
    <x v="3"/>
    <x v="4"/>
    <x v="3"/>
    <n v="66"/>
    <n v="58"/>
    <n v="329"/>
    <n v="453"/>
    <x v="0"/>
  </r>
  <r>
    <s v="NEET2026100343"/>
    <x v="1"/>
    <x v="326"/>
    <x v="3"/>
    <x v="3"/>
    <x v="0"/>
    <x v="1"/>
    <x v="3"/>
    <n v="112"/>
    <n v="64"/>
    <n v="140"/>
    <n v="316"/>
    <x v="3"/>
  </r>
  <r>
    <s v="NEET2025100344"/>
    <x v="1"/>
    <x v="327"/>
    <x v="4"/>
    <x v="2"/>
    <x v="1"/>
    <x v="1"/>
    <x v="2"/>
    <n v="180"/>
    <n v="74"/>
    <n v="253"/>
    <n v="507"/>
    <x v="0"/>
  </r>
  <r>
    <s v="NEET2024100345"/>
    <x v="1"/>
    <x v="328"/>
    <x v="0"/>
    <x v="4"/>
    <x v="0"/>
    <x v="0"/>
    <x v="2"/>
    <n v="130"/>
    <n v="175"/>
    <n v="76"/>
    <n v="381"/>
    <x v="0"/>
  </r>
  <r>
    <s v="NEET2025100346"/>
    <x v="1"/>
    <x v="329"/>
    <x v="8"/>
    <x v="7"/>
    <x v="0"/>
    <x v="2"/>
    <x v="2"/>
    <n v="114"/>
    <n v="49"/>
    <n v="181"/>
    <n v="344"/>
    <x v="3"/>
  </r>
  <r>
    <s v="NEET2023100347"/>
    <x v="1"/>
    <x v="330"/>
    <x v="8"/>
    <x v="11"/>
    <x v="0"/>
    <x v="2"/>
    <x v="3"/>
    <n v="97"/>
    <n v="83"/>
    <n v="187"/>
    <n v="367"/>
    <x v="0"/>
  </r>
  <r>
    <s v="NEET2026100348"/>
    <x v="1"/>
    <x v="331"/>
    <x v="7"/>
    <x v="1"/>
    <x v="0"/>
    <x v="3"/>
    <x v="1"/>
    <n v="142"/>
    <n v="137"/>
    <n v="145"/>
    <n v="424"/>
    <x v="2"/>
  </r>
  <r>
    <s v="NEET2024100349"/>
    <x v="1"/>
    <x v="332"/>
    <x v="5"/>
    <x v="5"/>
    <x v="2"/>
    <x v="2"/>
    <x v="0"/>
    <n v="152"/>
    <n v="177"/>
    <n v="175"/>
    <n v="504"/>
    <x v="3"/>
  </r>
  <r>
    <s v="NEET2025100350"/>
    <x v="0"/>
    <x v="333"/>
    <x v="7"/>
    <x v="9"/>
    <x v="0"/>
    <x v="1"/>
    <x v="1"/>
    <n v="96"/>
    <n v="56"/>
    <n v="97"/>
    <n v="249"/>
    <x v="0"/>
  </r>
  <r>
    <s v="NEET2023100351"/>
    <x v="1"/>
    <x v="334"/>
    <x v="1"/>
    <x v="10"/>
    <x v="4"/>
    <x v="0"/>
    <x v="2"/>
    <n v="53"/>
    <n v="116"/>
    <n v="307"/>
    <n v="476"/>
    <x v="2"/>
  </r>
  <r>
    <s v="NEET2024100352"/>
    <x v="1"/>
    <x v="335"/>
    <x v="5"/>
    <x v="11"/>
    <x v="0"/>
    <x v="3"/>
    <x v="3"/>
    <n v="55"/>
    <n v="114"/>
    <n v="165"/>
    <n v="334"/>
    <x v="3"/>
  </r>
  <r>
    <s v="NEET2026100353"/>
    <x v="0"/>
    <x v="336"/>
    <x v="4"/>
    <x v="0"/>
    <x v="0"/>
    <x v="3"/>
    <x v="0"/>
    <n v="42"/>
    <n v="130"/>
    <n v="352"/>
    <n v="524"/>
    <x v="0"/>
  </r>
  <r>
    <s v="NEET2023100354"/>
    <x v="0"/>
    <x v="337"/>
    <x v="6"/>
    <x v="0"/>
    <x v="0"/>
    <x v="1"/>
    <x v="2"/>
    <n v="105"/>
    <n v="152"/>
    <n v="162"/>
    <n v="419"/>
    <x v="3"/>
  </r>
  <r>
    <s v="NEET2026100355"/>
    <x v="1"/>
    <x v="338"/>
    <x v="5"/>
    <x v="14"/>
    <x v="0"/>
    <x v="2"/>
    <x v="3"/>
    <n v="59"/>
    <n v="108"/>
    <n v="263"/>
    <n v="430"/>
    <x v="2"/>
  </r>
  <r>
    <s v="NEET2026100356"/>
    <x v="0"/>
    <x v="339"/>
    <x v="4"/>
    <x v="9"/>
    <x v="0"/>
    <x v="4"/>
    <x v="3"/>
    <n v="127"/>
    <n v="124"/>
    <n v="155"/>
    <n v="406"/>
    <x v="2"/>
  </r>
  <r>
    <s v="NEET2024100357"/>
    <x v="0"/>
    <x v="340"/>
    <x v="3"/>
    <x v="12"/>
    <x v="0"/>
    <x v="3"/>
    <x v="0"/>
    <n v="98"/>
    <n v="174"/>
    <n v="91"/>
    <n v="363"/>
    <x v="2"/>
  </r>
  <r>
    <s v="NEET2026100358"/>
    <x v="1"/>
    <x v="341"/>
    <x v="2"/>
    <x v="4"/>
    <x v="0"/>
    <x v="0"/>
    <x v="1"/>
    <n v="88"/>
    <n v="171"/>
    <n v="91"/>
    <n v="350"/>
    <x v="1"/>
  </r>
  <r>
    <s v="NEET2024100359"/>
    <x v="0"/>
    <x v="342"/>
    <x v="8"/>
    <x v="3"/>
    <x v="0"/>
    <x v="1"/>
    <x v="1"/>
    <n v="50"/>
    <n v="131"/>
    <n v="77"/>
    <n v="258"/>
    <x v="1"/>
  </r>
  <r>
    <s v="NEET2026100360"/>
    <x v="0"/>
    <x v="343"/>
    <x v="4"/>
    <x v="13"/>
    <x v="5"/>
    <x v="1"/>
    <x v="1"/>
    <n v="79"/>
    <n v="62"/>
    <n v="81"/>
    <n v="222"/>
    <x v="1"/>
  </r>
  <r>
    <s v="NEET2026100361"/>
    <x v="1"/>
    <x v="344"/>
    <x v="1"/>
    <x v="3"/>
    <x v="0"/>
    <x v="3"/>
    <x v="3"/>
    <n v="111"/>
    <n v="47"/>
    <n v="104"/>
    <n v="262"/>
    <x v="2"/>
  </r>
  <r>
    <s v="NEET2023100362"/>
    <x v="1"/>
    <x v="345"/>
    <x v="7"/>
    <x v="13"/>
    <x v="5"/>
    <x v="1"/>
    <x v="2"/>
    <n v="180"/>
    <n v="163"/>
    <n v="274"/>
    <n v="617"/>
    <x v="0"/>
  </r>
  <r>
    <s v="NEET2025100363"/>
    <x v="1"/>
    <x v="346"/>
    <x v="5"/>
    <x v="4"/>
    <x v="0"/>
    <x v="4"/>
    <x v="3"/>
    <n v="55"/>
    <n v="103"/>
    <n v="334"/>
    <n v="492"/>
    <x v="2"/>
  </r>
  <r>
    <s v="NEET2025100364"/>
    <x v="1"/>
    <x v="347"/>
    <x v="1"/>
    <x v="4"/>
    <x v="0"/>
    <x v="0"/>
    <x v="2"/>
    <n v="151"/>
    <n v="39"/>
    <n v="148"/>
    <n v="338"/>
    <x v="2"/>
  </r>
  <r>
    <s v="NEET2026100365"/>
    <x v="1"/>
    <x v="348"/>
    <x v="7"/>
    <x v="1"/>
    <x v="0"/>
    <x v="2"/>
    <x v="3"/>
    <n v="114"/>
    <n v="90"/>
    <n v="85"/>
    <n v="289"/>
    <x v="3"/>
  </r>
  <r>
    <s v="NEET2023100366"/>
    <x v="0"/>
    <x v="349"/>
    <x v="9"/>
    <x v="3"/>
    <x v="0"/>
    <x v="3"/>
    <x v="2"/>
    <n v="109"/>
    <n v="101"/>
    <n v="311"/>
    <n v="521"/>
    <x v="2"/>
  </r>
  <r>
    <s v="NEET2023100367"/>
    <x v="0"/>
    <x v="350"/>
    <x v="2"/>
    <x v="5"/>
    <x v="2"/>
    <x v="1"/>
    <x v="1"/>
    <n v="112"/>
    <n v="98"/>
    <n v="273"/>
    <n v="483"/>
    <x v="2"/>
  </r>
  <r>
    <s v="NEET2024100368"/>
    <x v="0"/>
    <x v="351"/>
    <x v="2"/>
    <x v="14"/>
    <x v="0"/>
    <x v="0"/>
    <x v="3"/>
    <n v="162"/>
    <n v="125"/>
    <n v="88"/>
    <n v="375"/>
    <x v="2"/>
  </r>
  <r>
    <s v="NEET2024100369"/>
    <x v="0"/>
    <x v="281"/>
    <x v="5"/>
    <x v="13"/>
    <x v="5"/>
    <x v="2"/>
    <x v="2"/>
    <n v="164"/>
    <n v="175"/>
    <n v="74"/>
    <n v="413"/>
    <x v="1"/>
  </r>
  <r>
    <s v="NEET2025100370"/>
    <x v="1"/>
    <x v="352"/>
    <x v="7"/>
    <x v="14"/>
    <x v="0"/>
    <x v="0"/>
    <x v="1"/>
    <n v="42"/>
    <n v="122"/>
    <n v="161"/>
    <n v="325"/>
    <x v="2"/>
  </r>
  <r>
    <s v="NEET2025100371"/>
    <x v="1"/>
    <x v="353"/>
    <x v="0"/>
    <x v="10"/>
    <x v="4"/>
    <x v="1"/>
    <x v="1"/>
    <n v="61"/>
    <n v="37"/>
    <n v="183"/>
    <n v="281"/>
    <x v="2"/>
  </r>
  <r>
    <s v="NEET2025100372"/>
    <x v="0"/>
    <x v="354"/>
    <x v="1"/>
    <x v="8"/>
    <x v="0"/>
    <x v="2"/>
    <x v="3"/>
    <n v="119"/>
    <n v="118"/>
    <n v="143"/>
    <n v="380"/>
    <x v="2"/>
  </r>
  <r>
    <s v="NEET2024100373"/>
    <x v="0"/>
    <x v="355"/>
    <x v="7"/>
    <x v="7"/>
    <x v="0"/>
    <x v="4"/>
    <x v="3"/>
    <n v="176"/>
    <n v="84"/>
    <n v="173"/>
    <n v="433"/>
    <x v="0"/>
  </r>
  <r>
    <s v="NEET2024100374"/>
    <x v="0"/>
    <x v="356"/>
    <x v="2"/>
    <x v="13"/>
    <x v="5"/>
    <x v="3"/>
    <x v="2"/>
    <n v="32"/>
    <n v="151"/>
    <n v="127"/>
    <n v="310"/>
    <x v="3"/>
  </r>
  <r>
    <s v="NEET2025100375"/>
    <x v="1"/>
    <x v="357"/>
    <x v="2"/>
    <x v="6"/>
    <x v="3"/>
    <x v="1"/>
    <x v="3"/>
    <n v="100"/>
    <n v="138"/>
    <n v="252"/>
    <n v="490"/>
    <x v="2"/>
  </r>
  <r>
    <s v="NEET2023100376"/>
    <x v="0"/>
    <x v="358"/>
    <x v="3"/>
    <x v="2"/>
    <x v="1"/>
    <x v="0"/>
    <x v="3"/>
    <n v="163"/>
    <n v="131"/>
    <n v="359"/>
    <n v="653"/>
    <x v="3"/>
  </r>
  <r>
    <s v="NEET2025100377"/>
    <x v="1"/>
    <x v="359"/>
    <x v="3"/>
    <x v="2"/>
    <x v="1"/>
    <x v="3"/>
    <x v="3"/>
    <n v="57"/>
    <n v="153"/>
    <n v="92"/>
    <n v="302"/>
    <x v="3"/>
  </r>
  <r>
    <s v="NEET2024100378"/>
    <x v="0"/>
    <x v="360"/>
    <x v="0"/>
    <x v="6"/>
    <x v="3"/>
    <x v="3"/>
    <x v="1"/>
    <n v="106"/>
    <n v="78"/>
    <n v="136"/>
    <n v="320"/>
    <x v="1"/>
  </r>
  <r>
    <s v="NEET2026100379"/>
    <x v="1"/>
    <x v="197"/>
    <x v="2"/>
    <x v="11"/>
    <x v="0"/>
    <x v="2"/>
    <x v="1"/>
    <n v="157"/>
    <n v="105"/>
    <n v="192"/>
    <n v="454"/>
    <x v="1"/>
  </r>
  <r>
    <s v="NEET2025100380"/>
    <x v="1"/>
    <x v="361"/>
    <x v="3"/>
    <x v="6"/>
    <x v="3"/>
    <x v="0"/>
    <x v="2"/>
    <n v="86"/>
    <n v="166"/>
    <n v="303"/>
    <n v="555"/>
    <x v="1"/>
  </r>
  <r>
    <s v="NEET2024100381"/>
    <x v="1"/>
    <x v="362"/>
    <x v="3"/>
    <x v="0"/>
    <x v="0"/>
    <x v="1"/>
    <x v="0"/>
    <n v="150"/>
    <n v="62"/>
    <n v="192"/>
    <n v="404"/>
    <x v="3"/>
  </r>
  <r>
    <s v="NEET2025100382"/>
    <x v="1"/>
    <x v="327"/>
    <x v="4"/>
    <x v="6"/>
    <x v="3"/>
    <x v="4"/>
    <x v="3"/>
    <n v="108"/>
    <n v="137"/>
    <n v="229"/>
    <n v="474"/>
    <x v="0"/>
  </r>
  <r>
    <s v="NEET2026100383"/>
    <x v="0"/>
    <x v="363"/>
    <x v="8"/>
    <x v="11"/>
    <x v="0"/>
    <x v="4"/>
    <x v="0"/>
    <n v="179"/>
    <n v="178"/>
    <n v="96"/>
    <n v="453"/>
    <x v="3"/>
  </r>
  <r>
    <s v="NEET2025100384"/>
    <x v="1"/>
    <x v="364"/>
    <x v="6"/>
    <x v="11"/>
    <x v="0"/>
    <x v="1"/>
    <x v="1"/>
    <n v="68"/>
    <n v="65"/>
    <n v="162"/>
    <n v="295"/>
    <x v="3"/>
  </r>
  <r>
    <s v="NEET2024100385"/>
    <x v="1"/>
    <x v="365"/>
    <x v="2"/>
    <x v="7"/>
    <x v="0"/>
    <x v="2"/>
    <x v="0"/>
    <n v="50"/>
    <n v="154"/>
    <n v="230"/>
    <n v="434"/>
    <x v="2"/>
  </r>
  <r>
    <s v="NEET2026100386"/>
    <x v="0"/>
    <x v="366"/>
    <x v="3"/>
    <x v="12"/>
    <x v="0"/>
    <x v="0"/>
    <x v="2"/>
    <n v="73"/>
    <n v="177"/>
    <n v="141"/>
    <n v="391"/>
    <x v="2"/>
  </r>
  <r>
    <s v="NEET2026100387"/>
    <x v="0"/>
    <x v="367"/>
    <x v="0"/>
    <x v="1"/>
    <x v="0"/>
    <x v="0"/>
    <x v="0"/>
    <n v="133"/>
    <n v="139"/>
    <n v="304"/>
    <n v="576"/>
    <x v="1"/>
  </r>
  <r>
    <s v="NEET2024100388"/>
    <x v="0"/>
    <x v="368"/>
    <x v="2"/>
    <x v="9"/>
    <x v="0"/>
    <x v="1"/>
    <x v="0"/>
    <n v="33"/>
    <n v="112"/>
    <n v="331"/>
    <n v="476"/>
    <x v="1"/>
  </r>
  <r>
    <s v="NEET2023100389"/>
    <x v="1"/>
    <x v="369"/>
    <x v="0"/>
    <x v="10"/>
    <x v="4"/>
    <x v="1"/>
    <x v="3"/>
    <n v="118"/>
    <n v="109"/>
    <n v="126"/>
    <n v="353"/>
    <x v="0"/>
  </r>
  <r>
    <s v="NEET2025100390"/>
    <x v="1"/>
    <x v="370"/>
    <x v="7"/>
    <x v="3"/>
    <x v="0"/>
    <x v="3"/>
    <x v="2"/>
    <n v="104"/>
    <n v="146"/>
    <n v="326"/>
    <n v="576"/>
    <x v="2"/>
  </r>
  <r>
    <s v="NEET2023100391"/>
    <x v="0"/>
    <x v="371"/>
    <x v="6"/>
    <x v="13"/>
    <x v="5"/>
    <x v="1"/>
    <x v="2"/>
    <n v="78"/>
    <n v="72"/>
    <n v="266"/>
    <n v="416"/>
    <x v="1"/>
  </r>
  <r>
    <s v="NEET2023100392"/>
    <x v="1"/>
    <x v="372"/>
    <x v="2"/>
    <x v="11"/>
    <x v="0"/>
    <x v="4"/>
    <x v="0"/>
    <n v="180"/>
    <n v="159"/>
    <n v="146"/>
    <n v="485"/>
    <x v="3"/>
  </r>
  <r>
    <s v="NEET2023100393"/>
    <x v="0"/>
    <x v="373"/>
    <x v="2"/>
    <x v="8"/>
    <x v="0"/>
    <x v="4"/>
    <x v="0"/>
    <n v="42"/>
    <n v="42"/>
    <n v="115"/>
    <n v="199"/>
    <x v="2"/>
  </r>
  <r>
    <s v="NEET2024100394"/>
    <x v="0"/>
    <x v="374"/>
    <x v="6"/>
    <x v="0"/>
    <x v="0"/>
    <x v="3"/>
    <x v="0"/>
    <n v="170"/>
    <n v="94"/>
    <n v="302"/>
    <n v="566"/>
    <x v="2"/>
  </r>
  <r>
    <s v="NEET2026100395"/>
    <x v="0"/>
    <x v="375"/>
    <x v="0"/>
    <x v="0"/>
    <x v="0"/>
    <x v="3"/>
    <x v="0"/>
    <n v="163"/>
    <n v="99"/>
    <n v="130"/>
    <n v="392"/>
    <x v="0"/>
  </r>
  <r>
    <s v="NEET2025100396"/>
    <x v="0"/>
    <x v="376"/>
    <x v="2"/>
    <x v="0"/>
    <x v="0"/>
    <x v="4"/>
    <x v="3"/>
    <n v="157"/>
    <n v="80"/>
    <n v="162"/>
    <n v="399"/>
    <x v="3"/>
  </r>
  <r>
    <s v="NEET2026100397"/>
    <x v="1"/>
    <x v="377"/>
    <x v="5"/>
    <x v="11"/>
    <x v="0"/>
    <x v="2"/>
    <x v="2"/>
    <n v="170"/>
    <n v="157"/>
    <n v="166"/>
    <n v="493"/>
    <x v="0"/>
  </r>
  <r>
    <s v="NEET2024100398"/>
    <x v="0"/>
    <x v="378"/>
    <x v="0"/>
    <x v="0"/>
    <x v="0"/>
    <x v="2"/>
    <x v="0"/>
    <n v="58"/>
    <n v="176"/>
    <n v="312"/>
    <n v="546"/>
    <x v="3"/>
  </r>
  <r>
    <s v="NEET2026100399"/>
    <x v="0"/>
    <x v="379"/>
    <x v="0"/>
    <x v="12"/>
    <x v="0"/>
    <x v="1"/>
    <x v="0"/>
    <n v="146"/>
    <n v="105"/>
    <n v="195"/>
    <n v="446"/>
    <x v="0"/>
  </r>
  <r>
    <s v="NEET2023100400"/>
    <x v="0"/>
    <x v="380"/>
    <x v="3"/>
    <x v="9"/>
    <x v="0"/>
    <x v="1"/>
    <x v="0"/>
    <n v="110"/>
    <n v="139"/>
    <n v="119"/>
    <n v="368"/>
    <x v="1"/>
  </r>
  <r>
    <s v="NEET2025100401"/>
    <x v="1"/>
    <x v="381"/>
    <x v="3"/>
    <x v="9"/>
    <x v="0"/>
    <x v="2"/>
    <x v="2"/>
    <n v="142"/>
    <n v="98"/>
    <n v="107"/>
    <n v="347"/>
    <x v="2"/>
  </r>
  <r>
    <s v="NEET2026100402"/>
    <x v="0"/>
    <x v="382"/>
    <x v="6"/>
    <x v="14"/>
    <x v="0"/>
    <x v="1"/>
    <x v="0"/>
    <n v="99"/>
    <n v="128"/>
    <n v="304"/>
    <n v="531"/>
    <x v="0"/>
  </r>
  <r>
    <s v="NEET2026100403"/>
    <x v="0"/>
    <x v="383"/>
    <x v="5"/>
    <x v="0"/>
    <x v="0"/>
    <x v="3"/>
    <x v="1"/>
    <n v="136"/>
    <n v="153"/>
    <n v="351"/>
    <n v="640"/>
    <x v="0"/>
  </r>
  <r>
    <s v="NEET2023100404"/>
    <x v="1"/>
    <x v="384"/>
    <x v="0"/>
    <x v="10"/>
    <x v="4"/>
    <x v="2"/>
    <x v="1"/>
    <n v="63"/>
    <n v="153"/>
    <n v="309"/>
    <n v="525"/>
    <x v="0"/>
  </r>
  <r>
    <s v="NEET2024100405"/>
    <x v="1"/>
    <x v="385"/>
    <x v="3"/>
    <x v="2"/>
    <x v="1"/>
    <x v="4"/>
    <x v="0"/>
    <n v="110"/>
    <n v="33"/>
    <n v="328"/>
    <n v="471"/>
    <x v="1"/>
  </r>
  <r>
    <s v="NEET2023100406"/>
    <x v="0"/>
    <x v="386"/>
    <x v="8"/>
    <x v="9"/>
    <x v="0"/>
    <x v="0"/>
    <x v="2"/>
    <n v="128"/>
    <n v="68"/>
    <n v="345"/>
    <n v="541"/>
    <x v="2"/>
  </r>
  <r>
    <s v="NEET2025100407"/>
    <x v="0"/>
    <x v="387"/>
    <x v="8"/>
    <x v="5"/>
    <x v="2"/>
    <x v="3"/>
    <x v="3"/>
    <n v="72"/>
    <n v="49"/>
    <n v="311"/>
    <n v="432"/>
    <x v="0"/>
  </r>
  <r>
    <s v="NEET2024100408"/>
    <x v="0"/>
    <x v="388"/>
    <x v="8"/>
    <x v="12"/>
    <x v="0"/>
    <x v="4"/>
    <x v="1"/>
    <n v="170"/>
    <n v="126"/>
    <n v="266"/>
    <n v="562"/>
    <x v="2"/>
  </r>
  <r>
    <s v="NEET2023100409"/>
    <x v="1"/>
    <x v="389"/>
    <x v="5"/>
    <x v="5"/>
    <x v="2"/>
    <x v="2"/>
    <x v="0"/>
    <n v="157"/>
    <n v="144"/>
    <n v="221"/>
    <n v="522"/>
    <x v="2"/>
  </r>
  <r>
    <s v="NEET2023100410"/>
    <x v="1"/>
    <x v="390"/>
    <x v="6"/>
    <x v="11"/>
    <x v="0"/>
    <x v="4"/>
    <x v="2"/>
    <n v="172"/>
    <n v="170"/>
    <n v="60"/>
    <n v="402"/>
    <x v="3"/>
  </r>
  <r>
    <s v="NEET2025100411"/>
    <x v="1"/>
    <x v="391"/>
    <x v="6"/>
    <x v="5"/>
    <x v="2"/>
    <x v="4"/>
    <x v="3"/>
    <n v="43"/>
    <n v="87"/>
    <n v="292"/>
    <n v="422"/>
    <x v="0"/>
  </r>
  <r>
    <s v="NEET2025100412"/>
    <x v="1"/>
    <x v="392"/>
    <x v="5"/>
    <x v="13"/>
    <x v="5"/>
    <x v="2"/>
    <x v="3"/>
    <n v="86"/>
    <n v="30"/>
    <n v="234"/>
    <n v="350"/>
    <x v="0"/>
  </r>
  <r>
    <s v="NEET2025100413"/>
    <x v="0"/>
    <x v="393"/>
    <x v="5"/>
    <x v="14"/>
    <x v="0"/>
    <x v="2"/>
    <x v="2"/>
    <n v="65"/>
    <n v="134"/>
    <n v="114"/>
    <n v="313"/>
    <x v="2"/>
  </r>
  <r>
    <s v="NEET2026100414"/>
    <x v="0"/>
    <x v="394"/>
    <x v="4"/>
    <x v="14"/>
    <x v="0"/>
    <x v="4"/>
    <x v="0"/>
    <n v="78"/>
    <n v="116"/>
    <n v="115"/>
    <n v="309"/>
    <x v="2"/>
  </r>
  <r>
    <s v="NEET2023100415"/>
    <x v="0"/>
    <x v="395"/>
    <x v="0"/>
    <x v="4"/>
    <x v="0"/>
    <x v="0"/>
    <x v="1"/>
    <n v="159"/>
    <n v="64"/>
    <n v="315"/>
    <n v="538"/>
    <x v="2"/>
  </r>
  <r>
    <s v="NEET2024100416"/>
    <x v="0"/>
    <x v="396"/>
    <x v="8"/>
    <x v="13"/>
    <x v="5"/>
    <x v="0"/>
    <x v="1"/>
    <n v="75"/>
    <n v="178"/>
    <n v="148"/>
    <n v="401"/>
    <x v="3"/>
  </r>
  <r>
    <s v="NEET2025100417"/>
    <x v="1"/>
    <x v="397"/>
    <x v="8"/>
    <x v="10"/>
    <x v="4"/>
    <x v="3"/>
    <x v="3"/>
    <n v="128"/>
    <n v="137"/>
    <n v="187"/>
    <n v="452"/>
    <x v="2"/>
  </r>
  <r>
    <s v="NEET2025100418"/>
    <x v="0"/>
    <x v="163"/>
    <x v="5"/>
    <x v="7"/>
    <x v="0"/>
    <x v="1"/>
    <x v="2"/>
    <n v="135"/>
    <n v="161"/>
    <n v="213"/>
    <n v="509"/>
    <x v="3"/>
  </r>
  <r>
    <s v="NEET2025100419"/>
    <x v="0"/>
    <x v="398"/>
    <x v="0"/>
    <x v="9"/>
    <x v="0"/>
    <x v="0"/>
    <x v="3"/>
    <n v="63"/>
    <n v="75"/>
    <n v="317"/>
    <n v="455"/>
    <x v="2"/>
  </r>
  <r>
    <s v="NEET2026100420"/>
    <x v="0"/>
    <x v="399"/>
    <x v="1"/>
    <x v="4"/>
    <x v="0"/>
    <x v="2"/>
    <x v="0"/>
    <n v="136"/>
    <n v="166"/>
    <n v="206"/>
    <n v="508"/>
    <x v="2"/>
  </r>
  <r>
    <s v="NEET2024100421"/>
    <x v="1"/>
    <x v="400"/>
    <x v="5"/>
    <x v="11"/>
    <x v="0"/>
    <x v="1"/>
    <x v="3"/>
    <n v="44"/>
    <n v="81"/>
    <n v="196"/>
    <n v="321"/>
    <x v="0"/>
  </r>
  <r>
    <s v="NEET2023100422"/>
    <x v="1"/>
    <x v="401"/>
    <x v="0"/>
    <x v="13"/>
    <x v="5"/>
    <x v="2"/>
    <x v="1"/>
    <n v="105"/>
    <n v="82"/>
    <n v="337"/>
    <n v="524"/>
    <x v="1"/>
  </r>
  <r>
    <s v="NEET2025100423"/>
    <x v="0"/>
    <x v="402"/>
    <x v="2"/>
    <x v="2"/>
    <x v="1"/>
    <x v="4"/>
    <x v="1"/>
    <n v="173"/>
    <n v="129"/>
    <n v="181"/>
    <n v="483"/>
    <x v="2"/>
  </r>
  <r>
    <s v="NEET2023100424"/>
    <x v="1"/>
    <x v="403"/>
    <x v="2"/>
    <x v="2"/>
    <x v="1"/>
    <x v="0"/>
    <x v="2"/>
    <n v="110"/>
    <n v="171"/>
    <n v="87"/>
    <n v="368"/>
    <x v="2"/>
  </r>
  <r>
    <s v="NEET2024100425"/>
    <x v="0"/>
    <x v="404"/>
    <x v="4"/>
    <x v="10"/>
    <x v="4"/>
    <x v="4"/>
    <x v="3"/>
    <n v="124"/>
    <n v="180"/>
    <n v="339"/>
    <n v="643"/>
    <x v="1"/>
  </r>
  <r>
    <s v="NEET2023100426"/>
    <x v="1"/>
    <x v="221"/>
    <x v="0"/>
    <x v="0"/>
    <x v="0"/>
    <x v="4"/>
    <x v="0"/>
    <n v="77"/>
    <n v="74"/>
    <n v="323"/>
    <n v="474"/>
    <x v="3"/>
  </r>
  <r>
    <s v="NEET2025100427"/>
    <x v="0"/>
    <x v="405"/>
    <x v="1"/>
    <x v="3"/>
    <x v="0"/>
    <x v="4"/>
    <x v="3"/>
    <n v="63"/>
    <n v="71"/>
    <n v="359"/>
    <n v="493"/>
    <x v="1"/>
  </r>
  <r>
    <s v="NEET2026100428"/>
    <x v="1"/>
    <x v="297"/>
    <x v="7"/>
    <x v="7"/>
    <x v="0"/>
    <x v="3"/>
    <x v="0"/>
    <n v="112"/>
    <n v="43"/>
    <n v="214"/>
    <n v="369"/>
    <x v="1"/>
  </r>
  <r>
    <s v="NEET2026100429"/>
    <x v="1"/>
    <x v="406"/>
    <x v="4"/>
    <x v="8"/>
    <x v="0"/>
    <x v="3"/>
    <x v="0"/>
    <n v="47"/>
    <n v="159"/>
    <n v="141"/>
    <n v="347"/>
    <x v="1"/>
  </r>
  <r>
    <s v="NEET2025100430"/>
    <x v="0"/>
    <x v="407"/>
    <x v="4"/>
    <x v="2"/>
    <x v="1"/>
    <x v="0"/>
    <x v="1"/>
    <n v="114"/>
    <n v="114"/>
    <n v="244"/>
    <n v="472"/>
    <x v="0"/>
  </r>
  <r>
    <s v="NEET2024100431"/>
    <x v="0"/>
    <x v="408"/>
    <x v="5"/>
    <x v="2"/>
    <x v="1"/>
    <x v="4"/>
    <x v="3"/>
    <n v="118"/>
    <n v="144"/>
    <n v="183"/>
    <n v="445"/>
    <x v="0"/>
  </r>
  <r>
    <s v="NEET2025100432"/>
    <x v="1"/>
    <x v="409"/>
    <x v="6"/>
    <x v="3"/>
    <x v="0"/>
    <x v="2"/>
    <x v="1"/>
    <n v="168"/>
    <n v="102"/>
    <n v="72"/>
    <n v="342"/>
    <x v="3"/>
  </r>
  <r>
    <s v="NEET2023100433"/>
    <x v="0"/>
    <x v="410"/>
    <x v="0"/>
    <x v="12"/>
    <x v="0"/>
    <x v="2"/>
    <x v="0"/>
    <n v="112"/>
    <n v="161"/>
    <n v="102"/>
    <n v="375"/>
    <x v="1"/>
  </r>
  <r>
    <s v="NEET2024100434"/>
    <x v="1"/>
    <x v="411"/>
    <x v="0"/>
    <x v="2"/>
    <x v="1"/>
    <x v="1"/>
    <x v="0"/>
    <n v="84"/>
    <n v="138"/>
    <n v="113"/>
    <n v="335"/>
    <x v="0"/>
  </r>
  <r>
    <s v="NEET2023100435"/>
    <x v="0"/>
    <x v="412"/>
    <x v="8"/>
    <x v="6"/>
    <x v="3"/>
    <x v="3"/>
    <x v="2"/>
    <n v="114"/>
    <n v="39"/>
    <n v="104"/>
    <n v="257"/>
    <x v="0"/>
  </r>
  <r>
    <s v="NEET2026100436"/>
    <x v="1"/>
    <x v="413"/>
    <x v="1"/>
    <x v="5"/>
    <x v="2"/>
    <x v="4"/>
    <x v="1"/>
    <n v="88"/>
    <n v="96"/>
    <n v="268"/>
    <n v="452"/>
    <x v="3"/>
  </r>
  <r>
    <s v="NEET2023100437"/>
    <x v="0"/>
    <x v="414"/>
    <x v="7"/>
    <x v="1"/>
    <x v="0"/>
    <x v="3"/>
    <x v="0"/>
    <n v="60"/>
    <n v="166"/>
    <n v="63"/>
    <n v="289"/>
    <x v="0"/>
  </r>
  <r>
    <s v="NEET2026100438"/>
    <x v="1"/>
    <x v="415"/>
    <x v="3"/>
    <x v="13"/>
    <x v="5"/>
    <x v="2"/>
    <x v="1"/>
    <n v="107"/>
    <n v="52"/>
    <n v="204"/>
    <n v="363"/>
    <x v="2"/>
  </r>
  <r>
    <s v="NEET2025100439"/>
    <x v="0"/>
    <x v="416"/>
    <x v="5"/>
    <x v="8"/>
    <x v="0"/>
    <x v="3"/>
    <x v="3"/>
    <n v="86"/>
    <n v="64"/>
    <n v="260"/>
    <n v="410"/>
    <x v="0"/>
  </r>
  <r>
    <s v="NEET2023100440"/>
    <x v="0"/>
    <x v="417"/>
    <x v="1"/>
    <x v="5"/>
    <x v="2"/>
    <x v="0"/>
    <x v="1"/>
    <n v="172"/>
    <n v="66"/>
    <n v="123"/>
    <n v="361"/>
    <x v="0"/>
  </r>
  <r>
    <s v="NEET2024100441"/>
    <x v="0"/>
    <x v="418"/>
    <x v="3"/>
    <x v="12"/>
    <x v="0"/>
    <x v="1"/>
    <x v="2"/>
    <n v="118"/>
    <n v="84"/>
    <n v="271"/>
    <n v="473"/>
    <x v="3"/>
  </r>
  <r>
    <s v="NEET2026100442"/>
    <x v="0"/>
    <x v="419"/>
    <x v="4"/>
    <x v="0"/>
    <x v="0"/>
    <x v="2"/>
    <x v="3"/>
    <n v="76"/>
    <n v="175"/>
    <n v="87"/>
    <n v="338"/>
    <x v="3"/>
  </r>
  <r>
    <s v="NEET2025100443"/>
    <x v="0"/>
    <x v="420"/>
    <x v="5"/>
    <x v="12"/>
    <x v="0"/>
    <x v="2"/>
    <x v="2"/>
    <n v="178"/>
    <n v="154"/>
    <n v="229"/>
    <n v="561"/>
    <x v="3"/>
  </r>
  <r>
    <s v="NEET2026100444"/>
    <x v="1"/>
    <x v="421"/>
    <x v="0"/>
    <x v="0"/>
    <x v="0"/>
    <x v="0"/>
    <x v="3"/>
    <n v="79"/>
    <n v="111"/>
    <n v="308"/>
    <n v="498"/>
    <x v="1"/>
  </r>
  <r>
    <s v="NEET2024100445"/>
    <x v="0"/>
    <x v="276"/>
    <x v="1"/>
    <x v="4"/>
    <x v="0"/>
    <x v="1"/>
    <x v="3"/>
    <n v="123"/>
    <n v="110"/>
    <n v="279"/>
    <n v="512"/>
    <x v="1"/>
  </r>
  <r>
    <s v="NEET2024100446"/>
    <x v="1"/>
    <x v="422"/>
    <x v="2"/>
    <x v="6"/>
    <x v="3"/>
    <x v="4"/>
    <x v="1"/>
    <n v="141"/>
    <n v="100"/>
    <n v="244"/>
    <n v="485"/>
    <x v="2"/>
  </r>
  <r>
    <s v="NEET2023100447"/>
    <x v="0"/>
    <x v="423"/>
    <x v="6"/>
    <x v="13"/>
    <x v="5"/>
    <x v="3"/>
    <x v="0"/>
    <n v="108"/>
    <n v="154"/>
    <n v="342"/>
    <n v="604"/>
    <x v="1"/>
  </r>
  <r>
    <s v="NEET2023100448"/>
    <x v="0"/>
    <x v="424"/>
    <x v="1"/>
    <x v="12"/>
    <x v="0"/>
    <x v="0"/>
    <x v="1"/>
    <n v="97"/>
    <n v="49"/>
    <n v="98"/>
    <n v="244"/>
    <x v="1"/>
  </r>
  <r>
    <s v="NEET2026100449"/>
    <x v="0"/>
    <x v="425"/>
    <x v="7"/>
    <x v="8"/>
    <x v="0"/>
    <x v="4"/>
    <x v="3"/>
    <n v="96"/>
    <n v="169"/>
    <n v="336"/>
    <n v="601"/>
    <x v="1"/>
  </r>
  <r>
    <s v="NEET2023100450"/>
    <x v="1"/>
    <x v="426"/>
    <x v="2"/>
    <x v="4"/>
    <x v="0"/>
    <x v="0"/>
    <x v="3"/>
    <n v="104"/>
    <n v="64"/>
    <n v="297"/>
    <n v="465"/>
    <x v="0"/>
  </r>
  <r>
    <s v="NEET2026100451"/>
    <x v="0"/>
    <x v="113"/>
    <x v="0"/>
    <x v="12"/>
    <x v="0"/>
    <x v="0"/>
    <x v="2"/>
    <n v="72"/>
    <n v="161"/>
    <n v="131"/>
    <n v="364"/>
    <x v="1"/>
  </r>
  <r>
    <s v="NEET2024100452"/>
    <x v="1"/>
    <x v="427"/>
    <x v="2"/>
    <x v="6"/>
    <x v="3"/>
    <x v="2"/>
    <x v="2"/>
    <n v="153"/>
    <n v="121"/>
    <n v="80"/>
    <n v="354"/>
    <x v="3"/>
  </r>
  <r>
    <s v="NEET2025100453"/>
    <x v="1"/>
    <x v="428"/>
    <x v="6"/>
    <x v="12"/>
    <x v="0"/>
    <x v="4"/>
    <x v="1"/>
    <n v="40"/>
    <n v="82"/>
    <n v="325"/>
    <n v="447"/>
    <x v="0"/>
  </r>
  <r>
    <s v="NEET2025100454"/>
    <x v="1"/>
    <x v="297"/>
    <x v="7"/>
    <x v="2"/>
    <x v="1"/>
    <x v="4"/>
    <x v="2"/>
    <n v="112"/>
    <n v="56"/>
    <n v="326"/>
    <n v="494"/>
    <x v="2"/>
  </r>
  <r>
    <s v="NEET2026100455"/>
    <x v="0"/>
    <x v="296"/>
    <x v="6"/>
    <x v="4"/>
    <x v="0"/>
    <x v="3"/>
    <x v="1"/>
    <n v="49"/>
    <n v="162"/>
    <n v="188"/>
    <n v="399"/>
    <x v="3"/>
  </r>
  <r>
    <s v="NEET2024100456"/>
    <x v="1"/>
    <x v="429"/>
    <x v="8"/>
    <x v="13"/>
    <x v="5"/>
    <x v="1"/>
    <x v="2"/>
    <n v="153"/>
    <n v="31"/>
    <n v="316"/>
    <n v="500"/>
    <x v="0"/>
  </r>
  <r>
    <s v="NEET2024100457"/>
    <x v="0"/>
    <x v="430"/>
    <x v="8"/>
    <x v="2"/>
    <x v="1"/>
    <x v="0"/>
    <x v="3"/>
    <n v="101"/>
    <n v="84"/>
    <n v="136"/>
    <n v="321"/>
    <x v="0"/>
  </r>
  <r>
    <s v="NEET2026100458"/>
    <x v="1"/>
    <x v="431"/>
    <x v="0"/>
    <x v="12"/>
    <x v="0"/>
    <x v="1"/>
    <x v="1"/>
    <n v="136"/>
    <n v="114"/>
    <n v="118"/>
    <n v="368"/>
    <x v="1"/>
  </r>
  <r>
    <s v="NEET2023100459"/>
    <x v="0"/>
    <x v="319"/>
    <x v="0"/>
    <x v="5"/>
    <x v="2"/>
    <x v="1"/>
    <x v="2"/>
    <n v="135"/>
    <n v="35"/>
    <n v="184"/>
    <n v="354"/>
    <x v="0"/>
  </r>
  <r>
    <s v="NEET2024100460"/>
    <x v="1"/>
    <x v="432"/>
    <x v="1"/>
    <x v="7"/>
    <x v="0"/>
    <x v="3"/>
    <x v="0"/>
    <n v="44"/>
    <n v="72"/>
    <n v="192"/>
    <n v="308"/>
    <x v="0"/>
  </r>
  <r>
    <s v="NEET2024100461"/>
    <x v="1"/>
    <x v="433"/>
    <x v="4"/>
    <x v="14"/>
    <x v="0"/>
    <x v="0"/>
    <x v="2"/>
    <n v="150"/>
    <n v="153"/>
    <n v="147"/>
    <n v="450"/>
    <x v="1"/>
  </r>
  <r>
    <s v="NEET2025100462"/>
    <x v="1"/>
    <x v="434"/>
    <x v="0"/>
    <x v="2"/>
    <x v="1"/>
    <x v="1"/>
    <x v="0"/>
    <n v="160"/>
    <n v="97"/>
    <n v="145"/>
    <n v="402"/>
    <x v="2"/>
  </r>
  <r>
    <s v="NEET2026100463"/>
    <x v="0"/>
    <x v="435"/>
    <x v="6"/>
    <x v="7"/>
    <x v="0"/>
    <x v="1"/>
    <x v="0"/>
    <n v="57"/>
    <n v="34"/>
    <n v="163"/>
    <n v="254"/>
    <x v="2"/>
  </r>
  <r>
    <s v="NEET2023100464"/>
    <x v="0"/>
    <x v="436"/>
    <x v="0"/>
    <x v="4"/>
    <x v="0"/>
    <x v="1"/>
    <x v="1"/>
    <n v="39"/>
    <n v="166"/>
    <n v="317"/>
    <n v="522"/>
    <x v="0"/>
  </r>
  <r>
    <s v="NEET2025100465"/>
    <x v="0"/>
    <x v="437"/>
    <x v="2"/>
    <x v="2"/>
    <x v="1"/>
    <x v="1"/>
    <x v="1"/>
    <n v="140"/>
    <n v="163"/>
    <n v="275"/>
    <n v="578"/>
    <x v="2"/>
  </r>
  <r>
    <s v="NEET2023100466"/>
    <x v="1"/>
    <x v="438"/>
    <x v="2"/>
    <x v="13"/>
    <x v="5"/>
    <x v="3"/>
    <x v="2"/>
    <n v="127"/>
    <n v="119"/>
    <n v="354"/>
    <n v="600"/>
    <x v="2"/>
  </r>
  <r>
    <s v="NEET2026100467"/>
    <x v="1"/>
    <x v="439"/>
    <x v="2"/>
    <x v="12"/>
    <x v="0"/>
    <x v="2"/>
    <x v="2"/>
    <n v="51"/>
    <n v="102"/>
    <n v="338"/>
    <n v="491"/>
    <x v="0"/>
  </r>
  <r>
    <s v="NEET2026100468"/>
    <x v="0"/>
    <x v="440"/>
    <x v="1"/>
    <x v="8"/>
    <x v="0"/>
    <x v="4"/>
    <x v="3"/>
    <n v="60"/>
    <n v="163"/>
    <n v="63"/>
    <n v="286"/>
    <x v="3"/>
  </r>
  <r>
    <s v="NEET2025100469"/>
    <x v="1"/>
    <x v="441"/>
    <x v="5"/>
    <x v="7"/>
    <x v="0"/>
    <x v="0"/>
    <x v="3"/>
    <n v="139"/>
    <n v="179"/>
    <n v="189"/>
    <n v="507"/>
    <x v="3"/>
  </r>
  <r>
    <s v="NEET2026100470"/>
    <x v="0"/>
    <x v="442"/>
    <x v="0"/>
    <x v="1"/>
    <x v="0"/>
    <x v="0"/>
    <x v="3"/>
    <n v="82"/>
    <n v="135"/>
    <n v="342"/>
    <n v="559"/>
    <x v="2"/>
  </r>
  <r>
    <s v="NEET2024100471"/>
    <x v="0"/>
    <x v="443"/>
    <x v="4"/>
    <x v="3"/>
    <x v="0"/>
    <x v="4"/>
    <x v="2"/>
    <n v="177"/>
    <n v="118"/>
    <n v="263"/>
    <n v="558"/>
    <x v="1"/>
  </r>
  <r>
    <s v="NEET2023100472"/>
    <x v="0"/>
    <x v="444"/>
    <x v="5"/>
    <x v="12"/>
    <x v="0"/>
    <x v="2"/>
    <x v="1"/>
    <n v="160"/>
    <n v="132"/>
    <n v="233"/>
    <n v="525"/>
    <x v="0"/>
  </r>
  <r>
    <s v="NEET2025100473"/>
    <x v="0"/>
    <x v="400"/>
    <x v="5"/>
    <x v="14"/>
    <x v="0"/>
    <x v="2"/>
    <x v="3"/>
    <n v="141"/>
    <n v="52"/>
    <n v="92"/>
    <n v="285"/>
    <x v="0"/>
  </r>
  <r>
    <s v="NEET2023100474"/>
    <x v="0"/>
    <x v="445"/>
    <x v="2"/>
    <x v="1"/>
    <x v="0"/>
    <x v="4"/>
    <x v="1"/>
    <n v="132"/>
    <n v="163"/>
    <n v="206"/>
    <n v="501"/>
    <x v="0"/>
  </r>
  <r>
    <s v="NEET2023100475"/>
    <x v="0"/>
    <x v="446"/>
    <x v="4"/>
    <x v="5"/>
    <x v="2"/>
    <x v="2"/>
    <x v="2"/>
    <n v="162"/>
    <n v="103"/>
    <n v="159"/>
    <n v="424"/>
    <x v="3"/>
  </r>
  <r>
    <s v="NEET2025100476"/>
    <x v="1"/>
    <x v="447"/>
    <x v="4"/>
    <x v="2"/>
    <x v="1"/>
    <x v="4"/>
    <x v="3"/>
    <n v="30"/>
    <n v="70"/>
    <n v="104"/>
    <n v="204"/>
    <x v="2"/>
  </r>
  <r>
    <s v="NEET2023100477"/>
    <x v="1"/>
    <x v="448"/>
    <x v="1"/>
    <x v="12"/>
    <x v="0"/>
    <x v="3"/>
    <x v="3"/>
    <n v="162"/>
    <n v="33"/>
    <n v="95"/>
    <n v="290"/>
    <x v="3"/>
  </r>
  <r>
    <s v="NEET2023100478"/>
    <x v="1"/>
    <x v="449"/>
    <x v="4"/>
    <x v="4"/>
    <x v="0"/>
    <x v="4"/>
    <x v="2"/>
    <n v="79"/>
    <n v="146"/>
    <n v="266"/>
    <n v="491"/>
    <x v="0"/>
  </r>
  <r>
    <s v="NEET2023100479"/>
    <x v="1"/>
    <x v="219"/>
    <x v="1"/>
    <x v="0"/>
    <x v="0"/>
    <x v="4"/>
    <x v="3"/>
    <n v="158"/>
    <n v="105"/>
    <n v="234"/>
    <n v="497"/>
    <x v="2"/>
  </r>
  <r>
    <s v="NEET2026100480"/>
    <x v="0"/>
    <x v="450"/>
    <x v="1"/>
    <x v="14"/>
    <x v="0"/>
    <x v="2"/>
    <x v="1"/>
    <n v="92"/>
    <n v="116"/>
    <n v="294"/>
    <n v="502"/>
    <x v="3"/>
  </r>
  <r>
    <s v="NEET2026100481"/>
    <x v="1"/>
    <x v="19"/>
    <x v="7"/>
    <x v="1"/>
    <x v="0"/>
    <x v="3"/>
    <x v="0"/>
    <n v="86"/>
    <n v="88"/>
    <n v="221"/>
    <n v="395"/>
    <x v="1"/>
  </r>
  <r>
    <s v="NEET2024100482"/>
    <x v="1"/>
    <x v="451"/>
    <x v="3"/>
    <x v="0"/>
    <x v="0"/>
    <x v="3"/>
    <x v="3"/>
    <n v="132"/>
    <n v="117"/>
    <n v="98"/>
    <n v="347"/>
    <x v="1"/>
  </r>
  <r>
    <s v="NEET2024100483"/>
    <x v="0"/>
    <x v="452"/>
    <x v="1"/>
    <x v="3"/>
    <x v="0"/>
    <x v="3"/>
    <x v="2"/>
    <n v="76"/>
    <n v="78"/>
    <n v="315"/>
    <n v="469"/>
    <x v="1"/>
  </r>
  <r>
    <s v="NEET2023100484"/>
    <x v="0"/>
    <x v="453"/>
    <x v="4"/>
    <x v="12"/>
    <x v="0"/>
    <x v="4"/>
    <x v="0"/>
    <n v="93"/>
    <n v="121"/>
    <n v="139"/>
    <n v="353"/>
    <x v="0"/>
  </r>
  <r>
    <s v="NEET2025100485"/>
    <x v="1"/>
    <x v="454"/>
    <x v="2"/>
    <x v="5"/>
    <x v="2"/>
    <x v="0"/>
    <x v="1"/>
    <n v="168"/>
    <n v="40"/>
    <n v="306"/>
    <n v="514"/>
    <x v="3"/>
  </r>
  <r>
    <s v="NEET2024100486"/>
    <x v="0"/>
    <x v="455"/>
    <x v="8"/>
    <x v="7"/>
    <x v="0"/>
    <x v="0"/>
    <x v="0"/>
    <n v="160"/>
    <n v="101"/>
    <n v="263"/>
    <n v="524"/>
    <x v="2"/>
  </r>
  <r>
    <s v="NEET2026100487"/>
    <x v="0"/>
    <x v="456"/>
    <x v="8"/>
    <x v="8"/>
    <x v="0"/>
    <x v="2"/>
    <x v="1"/>
    <n v="38"/>
    <n v="158"/>
    <n v="237"/>
    <n v="433"/>
    <x v="2"/>
  </r>
  <r>
    <s v="NEET2026100488"/>
    <x v="0"/>
    <x v="457"/>
    <x v="3"/>
    <x v="6"/>
    <x v="3"/>
    <x v="3"/>
    <x v="3"/>
    <n v="32"/>
    <n v="33"/>
    <n v="167"/>
    <n v="232"/>
    <x v="3"/>
  </r>
  <r>
    <s v="NEET2026100489"/>
    <x v="1"/>
    <x v="458"/>
    <x v="4"/>
    <x v="8"/>
    <x v="0"/>
    <x v="1"/>
    <x v="3"/>
    <n v="97"/>
    <n v="90"/>
    <n v="197"/>
    <n v="384"/>
    <x v="2"/>
  </r>
  <r>
    <s v="NEET2026100490"/>
    <x v="1"/>
    <x v="459"/>
    <x v="6"/>
    <x v="12"/>
    <x v="0"/>
    <x v="1"/>
    <x v="1"/>
    <n v="137"/>
    <n v="125"/>
    <n v="246"/>
    <n v="508"/>
    <x v="1"/>
  </r>
  <r>
    <s v="NEET2024100491"/>
    <x v="1"/>
    <x v="258"/>
    <x v="1"/>
    <x v="2"/>
    <x v="1"/>
    <x v="1"/>
    <x v="1"/>
    <n v="88"/>
    <n v="55"/>
    <n v="198"/>
    <n v="341"/>
    <x v="1"/>
  </r>
  <r>
    <s v="NEET2024100492"/>
    <x v="1"/>
    <x v="460"/>
    <x v="9"/>
    <x v="6"/>
    <x v="3"/>
    <x v="1"/>
    <x v="1"/>
    <n v="68"/>
    <n v="151"/>
    <n v="64"/>
    <n v="283"/>
    <x v="3"/>
  </r>
  <r>
    <s v="NEET2023100493"/>
    <x v="1"/>
    <x v="461"/>
    <x v="2"/>
    <x v="14"/>
    <x v="0"/>
    <x v="1"/>
    <x v="0"/>
    <n v="106"/>
    <n v="94"/>
    <n v="347"/>
    <n v="547"/>
    <x v="0"/>
  </r>
  <r>
    <s v="NEET2026100494"/>
    <x v="1"/>
    <x v="462"/>
    <x v="4"/>
    <x v="5"/>
    <x v="2"/>
    <x v="3"/>
    <x v="3"/>
    <n v="95"/>
    <n v="151"/>
    <n v="109"/>
    <n v="355"/>
    <x v="3"/>
  </r>
  <r>
    <s v="NEET2026100495"/>
    <x v="0"/>
    <x v="463"/>
    <x v="1"/>
    <x v="8"/>
    <x v="0"/>
    <x v="0"/>
    <x v="3"/>
    <n v="95"/>
    <n v="118"/>
    <n v="70"/>
    <n v="283"/>
    <x v="1"/>
  </r>
  <r>
    <s v="NEET2025100496"/>
    <x v="1"/>
    <x v="464"/>
    <x v="1"/>
    <x v="4"/>
    <x v="0"/>
    <x v="4"/>
    <x v="1"/>
    <n v="167"/>
    <n v="74"/>
    <n v="205"/>
    <n v="446"/>
    <x v="0"/>
  </r>
  <r>
    <s v="NEET2024100497"/>
    <x v="1"/>
    <x v="465"/>
    <x v="6"/>
    <x v="4"/>
    <x v="0"/>
    <x v="0"/>
    <x v="1"/>
    <n v="103"/>
    <n v="148"/>
    <n v="134"/>
    <n v="385"/>
    <x v="2"/>
  </r>
  <r>
    <s v="NEET2025100498"/>
    <x v="1"/>
    <x v="466"/>
    <x v="7"/>
    <x v="0"/>
    <x v="0"/>
    <x v="3"/>
    <x v="3"/>
    <n v="71"/>
    <n v="117"/>
    <n v="176"/>
    <n v="364"/>
    <x v="2"/>
  </r>
  <r>
    <s v="NEET2026100499"/>
    <x v="1"/>
    <x v="467"/>
    <x v="3"/>
    <x v="10"/>
    <x v="4"/>
    <x v="1"/>
    <x v="2"/>
    <n v="143"/>
    <n v="122"/>
    <n v="360"/>
    <n v="625"/>
    <x v="0"/>
  </r>
  <r>
    <s v="NEET2024100500"/>
    <x v="0"/>
    <x v="181"/>
    <x v="5"/>
    <x v="6"/>
    <x v="3"/>
    <x v="2"/>
    <x v="1"/>
    <n v="90"/>
    <n v="94"/>
    <n v="100"/>
    <n v="284"/>
    <x v="0"/>
  </r>
  <r>
    <s v="NEET2023100501"/>
    <x v="1"/>
    <x v="468"/>
    <x v="7"/>
    <x v="10"/>
    <x v="4"/>
    <x v="2"/>
    <x v="0"/>
    <n v="151"/>
    <n v="170"/>
    <n v="87"/>
    <n v="408"/>
    <x v="3"/>
  </r>
  <r>
    <s v="NEET2024100502"/>
    <x v="0"/>
    <x v="469"/>
    <x v="0"/>
    <x v="7"/>
    <x v="0"/>
    <x v="4"/>
    <x v="3"/>
    <n v="51"/>
    <n v="129"/>
    <n v="218"/>
    <n v="398"/>
    <x v="1"/>
  </r>
  <r>
    <s v="NEET2025100503"/>
    <x v="1"/>
    <x v="470"/>
    <x v="5"/>
    <x v="8"/>
    <x v="0"/>
    <x v="4"/>
    <x v="1"/>
    <n v="73"/>
    <n v="37"/>
    <n v="77"/>
    <n v="187"/>
    <x v="3"/>
  </r>
  <r>
    <s v="NEET2026100504"/>
    <x v="1"/>
    <x v="471"/>
    <x v="1"/>
    <x v="14"/>
    <x v="0"/>
    <x v="3"/>
    <x v="3"/>
    <n v="64"/>
    <n v="168"/>
    <n v="150"/>
    <n v="382"/>
    <x v="2"/>
  </r>
  <r>
    <s v="NEET2025100505"/>
    <x v="1"/>
    <x v="472"/>
    <x v="1"/>
    <x v="12"/>
    <x v="0"/>
    <x v="1"/>
    <x v="3"/>
    <n v="52"/>
    <n v="143"/>
    <n v="217"/>
    <n v="412"/>
    <x v="3"/>
  </r>
  <r>
    <s v="NEET2025100506"/>
    <x v="1"/>
    <x v="263"/>
    <x v="7"/>
    <x v="11"/>
    <x v="0"/>
    <x v="4"/>
    <x v="0"/>
    <n v="163"/>
    <n v="64"/>
    <n v="236"/>
    <n v="463"/>
    <x v="2"/>
  </r>
  <r>
    <s v="NEET2023100507"/>
    <x v="1"/>
    <x v="473"/>
    <x v="3"/>
    <x v="11"/>
    <x v="0"/>
    <x v="4"/>
    <x v="2"/>
    <n v="140"/>
    <n v="104"/>
    <n v="178"/>
    <n v="422"/>
    <x v="2"/>
  </r>
  <r>
    <s v="NEET2024100508"/>
    <x v="1"/>
    <x v="474"/>
    <x v="6"/>
    <x v="12"/>
    <x v="0"/>
    <x v="4"/>
    <x v="0"/>
    <n v="71"/>
    <n v="129"/>
    <n v="253"/>
    <n v="453"/>
    <x v="1"/>
  </r>
  <r>
    <s v="NEET2025100509"/>
    <x v="1"/>
    <x v="475"/>
    <x v="8"/>
    <x v="13"/>
    <x v="5"/>
    <x v="2"/>
    <x v="2"/>
    <n v="99"/>
    <n v="102"/>
    <n v="332"/>
    <n v="533"/>
    <x v="1"/>
  </r>
  <r>
    <s v="NEET2025100510"/>
    <x v="1"/>
    <x v="476"/>
    <x v="5"/>
    <x v="3"/>
    <x v="0"/>
    <x v="3"/>
    <x v="2"/>
    <n v="58"/>
    <n v="146"/>
    <n v="291"/>
    <n v="495"/>
    <x v="0"/>
  </r>
  <r>
    <s v="NEET2023100511"/>
    <x v="1"/>
    <x v="477"/>
    <x v="5"/>
    <x v="11"/>
    <x v="0"/>
    <x v="1"/>
    <x v="3"/>
    <n v="166"/>
    <n v="35"/>
    <n v="155"/>
    <n v="356"/>
    <x v="2"/>
  </r>
  <r>
    <s v="NEET2023100512"/>
    <x v="1"/>
    <x v="478"/>
    <x v="2"/>
    <x v="11"/>
    <x v="0"/>
    <x v="3"/>
    <x v="2"/>
    <n v="89"/>
    <n v="53"/>
    <n v="137"/>
    <n v="279"/>
    <x v="2"/>
  </r>
  <r>
    <s v="NEET2023100513"/>
    <x v="1"/>
    <x v="479"/>
    <x v="3"/>
    <x v="13"/>
    <x v="5"/>
    <x v="1"/>
    <x v="0"/>
    <n v="157"/>
    <n v="125"/>
    <n v="297"/>
    <n v="579"/>
    <x v="0"/>
  </r>
  <r>
    <s v="NEET2026100514"/>
    <x v="0"/>
    <x v="480"/>
    <x v="3"/>
    <x v="13"/>
    <x v="5"/>
    <x v="3"/>
    <x v="2"/>
    <n v="130"/>
    <n v="48"/>
    <n v="338"/>
    <n v="516"/>
    <x v="2"/>
  </r>
  <r>
    <s v="NEET2024100515"/>
    <x v="0"/>
    <x v="481"/>
    <x v="7"/>
    <x v="0"/>
    <x v="0"/>
    <x v="4"/>
    <x v="2"/>
    <n v="93"/>
    <n v="128"/>
    <n v="286"/>
    <n v="507"/>
    <x v="0"/>
  </r>
  <r>
    <s v="NEET2025100516"/>
    <x v="1"/>
    <x v="265"/>
    <x v="8"/>
    <x v="2"/>
    <x v="1"/>
    <x v="2"/>
    <x v="2"/>
    <n v="83"/>
    <n v="151"/>
    <n v="259"/>
    <n v="493"/>
    <x v="0"/>
  </r>
  <r>
    <s v="NEET2023100517"/>
    <x v="0"/>
    <x v="482"/>
    <x v="4"/>
    <x v="14"/>
    <x v="0"/>
    <x v="1"/>
    <x v="0"/>
    <n v="106"/>
    <n v="80"/>
    <n v="244"/>
    <n v="430"/>
    <x v="2"/>
  </r>
  <r>
    <s v="NEET2023100518"/>
    <x v="1"/>
    <x v="483"/>
    <x v="3"/>
    <x v="11"/>
    <x v="0"/>
    <x v="2"/>
    <x v="2"/>
    <n v="72"/>
    <n v="100"/>
    <n v="359"/>
    <n v="531"/>
    <x v="0"/>
  </r>
  <r>
    <s v="NEET2023100519"/>
    <x v="0"/>
    <x v="484"/>
    <x v="1"/>
    <x v="13"/>
    <x v="5"/>
    <x v="4"/>
    <x v="2"/>
    <n v="151"/>
    <n v="69"/>
    <n v="250"/>
    <n v="470"/>
    <x v="0"/>
  </r>
  <r>
    <s v="NEET2025100520"/>
    <x v="0"/>
    <x v="485"/>
    <x v="0"/>
    <x v="4"/>
    <x v="0"/>
    <x v="1"/>
    <x v="0"/>
    <n v="116"/>
    <n v="45"/>
    <n v="90"/>
    <n v="251"/>
    <x v="2"/>
  </r>
  <r>
    <s v="NEET2024100521"/>
    <x v="0"/>
    <x v="6"/>
    <x v="4"/>
    <x v="9"/>
    <x v="0"/>
    <x v="3"/>
    <x v="1"/>
    <n v="172"/>
    <n v="118"/>
    <n v="284"/>
    <n v="574"/>
    <x v="1"/>
  </r>
  <r>
    <s v="NEET2025100522"/>
    <x v="1"/>
    <x v="486"/>
    <x v="4"/>
    <x v="10"/>
    <x v="4"/>
    <x v="0"/>
    <x v="2"/>
    <n v="40"/>
    <n v="154"/>
    <n v="284"/>
    <n v="478"/>
    <x v="1"/>
  </r>
  <r>
    <s v="NEET2024100523"/>
    <x v="0"/>
    <x v="487"/>
    <x v="1"/>
    <x v="9"/>
    <x v="0"/>
    <x v="4"/>
    <x v="2"/>
    <n v="112"/>
    <n v="149"/>
    <n v="200"/>
    <n v="461"/>
    <x v="3"/>
  </r>
  <r>
    <s v="NEET2026100524"/>
    <x v="0"/>
    <x v="340"/>
    <x v="3"/>
    <x v="8"/>
    <x v="0"/>
    <x v="0"/>
    <x v="0"/>
    <n v="123"/>
    <n v="146"/>
    <n v="60"/>
    <n v="329"/>
    <x v="3"/>
  </r>
  <r>
    <s v="NEET2026100525"/>
    <x v="0"/>
    <x v="488"/>
    <x v="2"/>
    <x v="4"/>
    <x v="0"/>
    <x v="0"/>
    <x v="1"/>
    <n v="91"/>
    <n v="112"/>
    <n v="92"/>
    <n v="295"/>
    <x v="1"/>
  </r>
  <r>
    <s v="NEET2023100526"/>
    <x v="0"/>
    <x v="489"/>
    <x v="1"/>
    <x v="3"/>
    <x v="0"/>
    <x v="2"/>
    <x v="0"/>
    <n v="112"/>
    <n v="134"/>
    <n v="224"/>
    <n v="470"/>
    <x v="1"/>
  </r>
  <r>
    <s v="NEET2026100527"/>
    <x v="0"/>
    <x v="42"/>
    <x v="4"/>
    <x v="5"/>
    <x v="2"/>
    <x v="2"/>
    <x v="0"/>
    <n v="38"/>
    <n v="81"/>
    <n v="114"/>
    <n v="233"/>
    <x v="2"/>
  </r>
  <r>
    <s v="NEET2025100528"/>
    <x v="0"/>
    <x v="490"/>
    <x v="0"/>
    <x v="14"/>
    <x v="0"/>
    <x v="2"/>
    <x v="0"/>
    <n v="164"/>
    <n v="95"/>
    <n v="85"/>
    <n v="344"/>
    <x v="1"/>
  </r>
  <r>
    <s v="NEET2025100529"/>
    <x v="1"/>
    <x v="491"/>
    <x v="0"/>
    <x v="14"/>
    <x v="0"/>
    <x v="2"/>
    <x v="3"/>
    <n v="50"/>
    <n v="149"/>
    <n v="91"/>
    <n v="290"/>
    <x v="3"/>
  </r>
  <r>
    <s v="NEET2024100530"/>
    <x v="0"/>
    <x v="492"/>
    <x v="1"/>
    <x v="11"/>
    <x v="0"/>
    <x v="1"/>
    <x v="0"/>
    <n v="48"/>
    <n v="107"/>
    <n v="99"/>
    <n v="254"/>
    <x v="2"/>
  </r>
  <r>
    <s v="NEET2024100531"/>
    <x v="1"/>
    <x v="493"/>
    <x v="4"/>
    <x v="12"/>
    <x v="0"/>
    <x v="0"/>
    <x v="0"/>
    <n v="164"/>
    <n v="93"/>
    <n v="351"/>
    <n v="608"/>
    <x v="3"/>
  </r>
  <r>
    <s v="NEET2024100532"/>
    <x v="1"/>
    <x v="494"/>
    <x v="0"/>
    <x v="14"/>
    <x v="0"/>
    <x v="1"/>
    <x v="3"/>
    <n v="139"/>
    <n v="56"/>
    <n v="145"/>
    <n v="340"/>
    <x v="2"/>
  </r>
  <r>
    <s v="NEET2025100533"/>
    <x v="1"/>
    <x v="495"/>
    <x v="6"/>
    <x v="10"/>
    <x v="4"/>
    <x v="3"/>
    <x v="1"/>
    <n v="110"/>
    <n v="170"/>
    <n v="226"/>
    <n v="506"/>
    <x v="1"/>
  </r>
  <r>
    <s v="NEET2025100534"/>
    <x v="1"/>
    <x v="450"/>
    <x v="1"/>
    <x v="8"/>
    <x v="0"/>
    <x v="4"/>
    <x v="1"/>
    <n v="84"/>
    <n v="126"/>
    <n v="341"/>
    <n v="551"/>
    <x v="2"/>
  </r>
  <r>
    <s v="NEET2024100535"/>
    <x v="1"/>
    <x v="496"/>
    <x v="7"/>
    <x v="6"/>
    <x v="3"/>
    <x v="3"/>
    <x v="0"/>
    <n v="38"/>
    <n v="102"/>
    <n v="68"/>
    <n v="208"/>
    <x v="1"/>
  </r>
  <r>
    <s v="NEET2024100536"/>
    <x v="0"/>
    <x v="497"/>
    <x v="4"/>
    <x v="5"/>
    <x v="2"/>
    <x v="4"/>
    <x v="0"/>
    <n v="110"/>
    <n v="35"/>
    <n v="201"/>
    <n v="346"/>
    <x v="3"/>
  </r>
  <r>
    <s v="NEET2024100537"/>
    <x v="0"/>
    <x v="498"/>
    <x v="5"/>
    <x v="7"/>
    <x v="0"/>
    <x v="3"/>
    <x v="3"/>
    <n v="97"/>
    <n v="123"/>
    <n v="358"/>
    <n v="578"/>
    <x v="0"/>
  </r>
  <r>
    <s v="NEET2025100538"/>
    <x v="1"/>
    <x v="499"/>
    <x v="1"/>
    <x v="1"/>
    <x v="0"/>
    <x v="4"/>
    <x v="2"/>
    <n v="175"/>
    <n v="85"/>
    <n v="99"/>
    <n v="359"/>
    <x v="0"/>
  </r>
  <r>
    <s v="NEET2026100539"/>
    <x v="0"/>
    <x v="500"/>
    <x v="1"/>
    <x v="2"/>
    <x v="1"/>
    <x v="3"/>
    <x v="0"/>
    <n v="106"/>
    <n v="39"/>
    <n v="355"/>
    <n v="500"/>
    <x v="3"/>
  </r>
  <r>
    <s v="NEET2026100540"/>
    <x v="0"/>
    <x v="501"/>
    <x v="6"/>
    <x v="1"/>
    <x v="0"/>
    <x v="0"/>
    <x v="3"/>
    <n v="60"/>
    <n v="88"/>
    <n v="65"/>
    <n v="213"/>
    <x v="0"/>
  </r>
  <r>
    <s v="NEET2024100541"/>
    <x v="0"/>
    <x v="186"/>
    <x v="3"/>
    <x v="8"/>
    <x v="0"/>
    <x v="4"/>
    <x v="0"/>
    <n v="174"/>
    <n v="68"/>
    <n v="227"/>
    <n v="469"/>
    <x v="2"/>
  </r>
  <r>
    <s v="NEET2024100542"/>
    <x v="1"/>
    <x v="502"/>
    <x v="2"/>
    <x v="4"/>
    <x v="0"/>
    <x v="4"/>
    <x v="3"/>
    <n v="177"/>
    <n v="159"/>
    <n v="106"/>
    <n v="442"/>
    <x v="1"/>
  </r>
  <r>
    <s v="NEET2023100543"/>
    <x v="1"/>
    <x v="503"/>
    <x v="5"/>
    <x v="9"/>
    <x v="0"/>
    <x v="2"/>
    <x v="3"/>
    <n v="51"/>
    <n v="151"/>
    <n v="352"/>
    <n v="554"/>
    <x v="2"/>
  </r>
  <r>
    <s v="NEET2024100544"/>
    <x v="1"/>
    <x v="504"/>
    <x v="8"/>
    <x v="1"/>
    <x v="0"/>
    <x v="0"/>
    <x v="1"/>
    <n v="63"/>
    <n v="64"/>
    <n v="306"/>
    <n v="433"/>
    <x v="1"/>
  </r>
  <r>
    <s v="NEET2023100545"/>
    <x v="1"/>
    <x v="505"/>
    <x v="1"/>
    <x v="4"/>
    <x v="0"/>
    <x v="3"/>
    <x v="1"/>
    <n v="164"/>
    <n v="93"/>
    <n v="184"/>
    <n v="441"/>
    <x v="0"/>
  </r>
  <r>
    <s v="NEET2025100546"/>
    <x v="0"/>
    <x v="506"/>
    <x v="5"/>
    <x v="2"/>
    <x v="1"/>
    <x v="3"/>
    <x v="3"/>
    <n v="135"/>
    <n v="138"/>
    <n v="247"/>
    <n v="520"/>
    <x v="0"/>
  </r>
  <r>
    <s v="NEET2024100547"/>
    <x v="1"/>
    <x v="507"/>
    <x v="2"/>
    <x v="3"/>
    <x v="0"/>
    <x v="1"/>
    <x v="0"/>
    <n v="73"/>
    <n v="119"/>
    <n v="286"/>
    <n v="478"/>
    <x v="1"/>
  </r>
  <r>
    <s v="NEET2023100548"/>
    <x v="0"/>
    <x v="508"/>
    <x v="0"/>
    <x v="9"/>
    <x v="0"/>
    <x v="3"/>
    <x v="2"/>
    <n v="69"/>
    <n v="51"/>
    <n v="117"/>
    <n v="237"/>
    <x v="0"/>
  </r>
  <r>
    <s v="NEET2026100549"/>
    <x v="0"/>
    <x v="143"/>
    <x v="3"/>
    <x v="6"/>
    <x v="3"/>
    <x v="1"/>
    <x v="3"/>
    <n v="58"/>
    <n v="108"/>
    <n v="290"/>
    <n v="456"/>
    <x v="1"/>
  </r>
  <r>
    <s v="NEET2026100550"/>
    <x v="0"/>
    <x v="509"/>
    <x v="4"/>
    <x v="8"/>
    <x v="0"/>
    <x v="4"/>
    <x v="0"/>
    <n v="163"/>
    <n v="96"/>
    <n v="340"/>
    <n v="599"/>
    <x v="0"/>
  </r>
  <r>
    <s v="NEET2025100551"/>
    <x v="0"/>
    <x v="510"/>
    <x v="4"/>
    <x v="7"/>
    <x v="0"/>
    <x v="2"/>
    <x v="1"/>
    <n v="45"/>
    <n v="102"/>
    <n v="162"/>
    <n v="309"/>
    <x v="0"/>
  </r>
  <r>
    <s v="NEET2023100552"/>
    <x v="1"/>
    <x v="112"/>
    <x v="6"/>
    <x v="2"/>
    <x v="1"/>
    <x v="1"/>
    <x v="1"/>
    <n v="99"/>
    <n v="122"/>
    <n v="115"/>
    <n v="336"/>
    <x v="2"/>
  </r>
  <r>
    <s v="NEET2023100553"/>
    <x v="0"/>
    <x v="396"/>
    <x v="8"/>
    <x v="6"/>
    <x v="3"/>
    <x v="0"/>
    <x v="2"/>
    <n v="55"/>
    <n v="110"/>
    <n v="308"/>
    <n v="473"/>
    <x v="2"/>
  </r>
  <r>
    <s v="NEET2025100554"/>
    <x v="1"/>
    <x v="511"/>
    <x v="1"/>
    <x v="10"/>
    <x v="4"/>
    <x v="4"/>
    <x v="1"/>
    <n v="35"/>
    <n v="40"/>
    <n v="186"/>
    <n v="261"/>
    <x v="1"/>
  </r>
  <r>
    <s v="NEET2024100555"/>
    <x v="1"/>
    <x v="512"/>
    <x v="7"/>
    <x v="9"/>
    <x v="0"/>
    <x v="3"/>
    <x v="0"/>
    <n v="120"/>
    <n v="120"/>
    <n v="214"/>
    <n v="454"/>
    <x v="2"/>
  </r>
  <r>
    <s v="NEET2025100556"/>
    <x v="1"/>
    <x v="513"/>
    <x v="7"/>
    <x v="8"/>
    <x v="0"/>
    <x v="2"/>
    <x v="2"/>
    <n v="101"/>
    <n v="87"/>
    <n v="137"/>
    <n v="325"/>
    <x v="2"/>
  </r>
  <r>
    <s v="NEET2024100557"/>
    <x v="1"/>
    <x v="514"/>
    <x v="8"/>
    <x v="2"/>
    <x v="1"/>
    <x v="0"/>
    <x v="3"/>
    <n v="88"/>
    <n v="136"/>
    <n v="183"/>
    <n v="407"/>
    <x v="3"/>
  </r>
  <r>
    <s v="NEET2024100558"/>
    <x v="0"/>
    <x v="515"/>
    <x v="8"/>
    <x v="8"/>
    <x v="0"/>
    <x v="0"/>
    <x v="3"/>
    <n v="63"/>
    <n v="82"/>
    <n v="130"/>
    <n v="275"/>
    <x v="1"/>
  </r>
  <r>
    <s v="NEET2025100559"/>
    <x v="0"/>
    <x v="516"/>
    <x v="6"/>
    <x v="10"/>
    <x v="4"/>
    <x v="1"/>
    <x v="0"/>
    <n v="67"/>
    <n v="174"/>
    <n v="140"/>
    <n v="381"/>
    <x v="3"/>
  </r>
  <r>
    <s v="NEET2026100560"/>
    <x v="1"/>
    <x v="517"/>
    <x v="5"/>
    <x v="6"/>
    <x v="3"/>
    <x v="3"/>
    <x v="1"/>
    <n v="37"/>
    <n v="111"/>
    <n v="271"/>
    <n v="419"/>
    <x v="1"/>
  </r>
  <r>
    <s v="NEET2023100561"/>
    <x v="1"/>
    <x v="137"/>
    <x v="2"/>
    <x v="12"/>
    <x v="0"/>
    <x v="0"/>
    <x v="2"/>
    <n v="57"/>
    <n v="63"/>
    <n v="154"/>
    <n v="274"/>
    <x v="1"/>
  </r>
  <r>
    <s v="NEET2026100562"/>
    <x v="0"/>
    <x v="518"/>
    <x v="4"/>
    <x v="2"/>
    <x v="1"/>
    <x v="3"/>
    <x v="1"/>
    <n v="36"/>
    <n v="121"/>
    <n v="100"/>
    <n v="257"/>
    <x v="1"/>
  </r>
  <r>
    <s v="NEET2024100563"/>
    <x v="0"/>
    <x v="519"/>
    <x v="6"/>
    <x v="14"/>
    <x v="0"/>
    <x v="4"/>
    <x v="0"/>
    <n v="151"/>
    <n v="65"/>
    <n v="143"/>
    <n v="359"/>
    <x v="0"/>
  </r>
  <r>
    <s v="NEET2023100564"/>
    <x v="0"/>
    <x v="520"/>
    <x v="3"/>
    <x v="1"/>
    <x v="0"/>
    <x v="0"/>
    <x v="1"/>
    <n v="86"/>
    <n v="81"/>
    <n v="164"/>
    <n v="331"/>
    <x v="2"/>
  </r>
  <r>
    <s v="NEET2026100565"/>
    <x v="0"/>
    <x v="521"/>
    <x v="0"/>
    <x v="9"/>
    <x v="0"/>
    <x v="3"/>
    <x v="1"/>
    <n v="147"/>
    <n v="93"/>
    <n v="278"/>
    <n v="518"/>
    <x v="2"/>
  </r>
  <r>
    <s v="NEET2023100566"/>
    <x v="0"/>
    <x v="522"/>
    <x v="1"/>
    <x v="6"/>
    <x v="3"/>
    <x v="4"/>
    <x v="1"/>
    <n v="176"/>
    <n v="167"/>
    <n v="328"/>
    <n v="671"/>
    <x v="0"/>
  </r>
  <r>
    <s v="NEET2026100567"/>
    <x v="0"/>
    <x v="523"/>
    <x v="4"/>
    <x v="8"/>
    <x v="0"/>
    <x v="3"/>
    <x v="2"/>
    <n v="167"/>
    <n v="131"/>
    <n v="80"/>
    <n v="378"/>
    <x v="2"/>
  </r>
  <r>
    <s v="NEET2024100568"/>
    <x v="1"/>
    <x v="524"/>
    <x v="6"/>
    <x v="10"/>
    <x v="4"/>
    <x v="0"/>
    <x v="3"/>
    <n v="107"/>
    <n v="103"/>
    <n v="296"/>
    <n v="506"/>
    <x v="0"/>
  </r>
  <r>
    <s v="NEET2023100569"/>
    <x v="0"/>
    <x v="525"/>
    <x v="0"/>
    <x v="8"/>
    <x v="0"/>
    <x v="0"/>
    <x v="2"/>
    <n v="66"/>
    <n v="148"/>
    <n v="291"/>
    <n v="505"/>
    <x v="1"/>
  </r>
  <r>
    <s v="NEET2024100570"/>
    <x v="1"/>
    <x v="526"/>
    <x v="6"/>
    <x v="1"/>
    <x v="0"/>
    <x v="4"/>
    <x v="2"/>
    <n v="112"/>
    <n v="145"/>
    <n v="72"/>
    <n v="329"/>
    <x v="0"/>
  </r>
  <r>
    <s v="NEET2023100571"/>
    <x v="1"/>
    <x v="153"/>
    <x v="4"/>
    <x v="9"/>
    <x v="0"/>
    <x v="2"/>
    <x v="3"/>
    <n v="71"/>
    <n v="61"/>
    <n v="106"/>
    <n v="238"/>
    <x v="2"/>
  </r>
  <r>
    <s v="NEET2026100572"/>
    <x v="0"/>
    <x v="527"/>
    <x v="2"/>
    <x v="13"/>
    <x v="5"/>
    <x v="3"/>
    <x v="2"/>
    <n v="160"/>
    <n v="70"/>
    <n v="253"/>
    <n v="483"/>
    <x v="1"/>
  </r>
  <r>
    <s v="NEET2026100573"/>
    <x v="1"/>
    <x v="528"/>
    <x v="5"/>
    <x v="5"/>
    <x v="2"/>
    <x v="4"/>
    <x v="3"/>
    <n v="67"/>
    <n v="75"/>
    <n v="86"/>
    <n v="228"/>
    <x v="3"/>
  </r>
  <r>
    <s v="NEET2023100574"/>
    <x v="1"/>
    <x v="529"/>
    <x v="0"/>
    <x v="7"/>
    <x v="0"/>
    <x v="4"/>
    <x v="0"/>
    <n v="60"/>
    <n v="63"/>
    <n v="163"/>
    <n v="286"/>
    <x v="2"/>
  </r>
  <r>
    <s v="NEET2024100575"/>
    <x v="1"/>
    <x v="530"/>
    <x v="8"/>
    <x v="8"/>
    <x v="0"/>
    <x v="4"/>
    <x v="1"/>
    <n v="31"/>
    <n v="156"/>
    <n v="181"/>
    <n v="368"/>
    <x v="2"/>
  </r>
  <r>
    <s v="NEET2025100576"/>
    <x v="0"/>
    <x v="531"/>
    <x v="5"/>
    <x v="4"/>
    <x v="0"/>
    <x v="1"/>
    <x v="0"/>
    <n v="31"/>
    <n v="92"/>
    <n v="340"/>
    <n v="463"/>
    <x v="1"/>
  </r>
  <r>
    <s v="NEET2023100577"/>
    <x v="1"/>
    <x v="532"/>
    <x v="7"/>
    <x v="2"/>
    <x v="1"/>
    <x v="2"/>
    <x v="3"/>
    <n v="119"/>
    <n v="39"/>
    <n v="134"/>
    <n v="292"/>
    <x v="0"/>
  </r>
  <r>
    <s v="NEET2024100578"/>
    <x v="1"/>
    <x v="533"/>
    <x v="5"/>
    <x v="1"/>
    <x v="0"/>
    <x v="2"/>
    <x v="3"/>
    <n v="75"/>
    <n v="71"/>
    <n v="205"/>
    <n v="351"/>
    <x v="0"/>
  </r>
  <r>
    <s v="NEET2023100579"/>
    <x v="1"/>
    <x v="534"/>
    <x v="2"/>
    <x v="3"/>
    <x v="0"/>
    <x v="3"/>
    <x v="0"/>
    <n v="112"/>
    <n v="124"/>
    <n v="254"/>
    <n v="490"/>
    <x v="2"/>
  </r>
  <r>
    <s v="NEET2026100580"/>
    <x v="0"/>
    <x v="535"/>
    <x v="5"/>
    <x v="0"/>
    <x v="0"/>
    <x v="0"/>
    <x v="2"/>
    <n v="100"/>
    <n v="114"/>
    <n v="329"/>
    <n v="543"/>
    <x v="0"/>
  </r>
  <r>
    <s v="NEET2025100581"/>
    <x v="1"/>
    <x v="262"/>
    <x v="5"/>
    <x v="4"/>
    <x v="0"/>
    <x v="3"/>
    <x v="3"/>
    <n v="165"/>
    <n v="52"/>
    <n v="307"/>
    <n v="524"/>
    <x v="3"/>
  </r>
  <r>
    <s v="NEET2026100582"/>
    <x v="1"/>
    <x v="536"/>
    <x v="5"/>
    <x v="4"/>
    <x v="0"/>
    <x v="0"/>
    <x v="2"/>
    <n v="174"/>
    <n v="157"/>
    <n v="326"/>
    <n v="657"/>
    <x v="1"/>
  </r>
  <r>
    <s v="NEET2023100583"/>
    <x v="1"/>
    <x v="537"/>
    <x v="2"/>
    <x v="3"/>
    <x v="0"/>
    <x v="1"/>
    <x v="0"/>
    <n v="79"/>
    <n v="30"/>
    <n v="120"/>
    <n v="229"/>
    <x v="2"/>
  </r>
  <r>
    <s v="NEET2024100584"/>
    <x v="0"/>
    <x v="538"/>
    <x v="6"/>
    <x v="11"/>
    <x v="0"/>
    <x v="3"/>
    <x v="2"/>
    <n v="115"/>
    <n v="119"/>
    <n v="346"/>
    <n v="580"/>
    <x v="3"/>
  </r>
  <r>
    <s v="NEET2025100585"/>
    <x v="0"/>
    <x v="539"/>
    <x v="2"/>
    <x v="0"/>
    <x v="0"/>
    <x v="3"/>
    <x v="0"/>
    <n v="108"/>
    <n v="106"/>
    <n v="319"/>
    <n v="533"/>
    <x v="3"/>
  </r>
  <r>
    <s v="NEET2024100586"/>
    <x v="1"/>
    <x v="540"/>
    <x v="6"/>
    <x v="6"/>
    <x v="3"/>
    <x v="4"/>
    <x v="3"/>
    <n v="175"/>
    <n v="37"/>
    <n v="149"/>
    <n v="361"/>
    <x v="2"/>
  </r>
  <r>
    <s v="NEET2026100587"/>
    <x v="1"/>
    <x v="541"/>
    <x v="9"/>
    <x v="11"/>
    <x v="0"/>
    <x v="4"/>
    <x v="1"/>
    <n v="64"/>
    <n v="153"/>
    <n v="139"/>
    <n v="356"/>
    <x v="0"/>
  </r>
  <r>
    <s v="NEET2023100588"/>
    <x v="0"/>
    <x v="265"/>
    <x v="8"/>
    <x v="3"/>
    <x v="0"/>
    <x v="3"/>
    <x v="3"/>
    <n v="174"/>
    <n v="110"/>
    <n v="344"/>
    <n v="628"/>
    <x v="0"/>
  </r>
  <r>
    <s v="NEET2024100589"/>
    <x v="1"/>
    <x v="542"/>
    <x v="5"/>
    <x v="3"/>
    <x v="0"/>
    <x v="0"/>
    <x v="2"/>
    <n v="37"/>
    <n v="116"/>
    <n v="252"/>
    <n v="405"/>
    <x v="0"/>
  </r>
  <r>
    <s v="NEET2025100590"/>
    <x v="1"/>
    <x v="39"/>
    <x v="2"/>
    <x v="13"/>
    <x v="5"/>
    <x v="4"/>
    <x v="0"/>
    <n v="108"/>
    <n v="110"/>
    <n v="76"/>
    <n v="294"/>
    <x v="1"/>
  </r>
  <r>
    <s v="NEET2025100591"/>
    <x v="0"/>
    <x v="543"/>
    <x v="6"/>
    <x v="14"/>
    <x v="0"/>
    <x v="3"/>
    <x v="0"/>
    <n v="107"/>
    <n v="85"/>
    <n v="328"/>
    <n v="520"/>
    <x v="0"/>
  </r>
  <r>
    <s v="NEET2023100592"/>
    <x v="1"/>
    <x v="544"/>
    <x v="2"/>
    <x v="12"/>
    <x v="0"/>
    <x v="1"/>
    <x v="2"/>
    <n v="53"/>
    <n v="143"/>
    <n v="319"/>
    <n v="515"/>
    <x v="3"/>
  </r>
  <r>
    <s v="NEET2024100593"/>
    <x v="0"/>
    <x v="545"/>
    <x v="8"/>
    <x v="6"/>
    <x v="3"/>
    <x v="1"/>
    <x v="2"/>
    <n v="164"/>
    <n v="109"/>
    <n v="227"/>
    <n v="500"/>
    <x v="0"/>
  </r>
  <r>
    <s v="NEET2025100594"/>
    <x v="0"/>
    <x v="546"/>
    <x v="8"/>
    <x v="1"/>
    <x v="0"/>
    <x v="3"/>
    <x v="0"/>
    <n v="163"/>
    <n v="59"/>
    <n v="62"/>
    <n v="284"/>
    <x v="2"/>
  </r>
  <r>
    <s v="NEET2025100595"/>
    <x v="0"/>
    <x v="547"/>
    <x v="7"/>
    <x v="0"/>
    <x v="0"/>
    <x v="1"/>
    <x v="3"/>
    <n v="163"/>
    <n v="109"/>
    <n v="71"/>
    <n v="343"/>
    <x v="1"/>
  </r>
  <r>
    <s v="NEET2023100596"/>
    <x v="1"/>
    <x v="548"/>
    <x v="3"/>
    <x v="3"/>
    <x v="0"/>
    <x v="1"/>
    <x v="2"/>
    <n v="166"/>
    <n v="111"/>
    <n v="285"/>
    <n v="562"/>
    <x v="3"/>
  </r>
  <r>
    <s v="NEET2024100597"/>
    <x v="1"/>
    <x v="549"/>
    <x v="5"/>
    <x v="11"/>
    <x v="0"/>
    <x v="3"/>
    <x v="3"/>
    <n v="173"/>
    <n v="161"/>
    <n v="112"/>
    <n v="446"/>
    <x v="1"/>
  </r>
  <r>
    <s v="NEET2024100598"/>
    <x v="0"/>
    <x v="550"/>
    <x v="2"/>
    <x v="13"/>
    <x v="5"/>
    <x v="0"/>
    <x v="3"/>
    <n v="102"/>
    <n v="176"/>
    <n v="185"/>
    <n v="463"/>
    <x v="3"/>
  </r>
  <r>
    <s v="NEET2026100599"/>
    <x v="0"/>
    <x v="551"/>
    <x v="1"/>
    <x v="14"/>
    <x v="0"/>
    <x v="4"/>
    <x v="0"/>
    <n v="42"/>
    <n v="63"/>
    <n v="74"/>
    <n v="179"/>
    <x v="0"/>
  </r>
  <r>
    <s v="NEET2025100600"/>
    <x v="1"/>
    <x v="552"/>
    <x v="5"/>
    <x v="1"/>
    <x v="0"/>
    <x v="1"/>
    <x v="3"/>
    <n v="130"/>
    <n v="75"/>
    <n v="288"/>
    <n v="493"/>
    <x v="0"/>
  </r>
  <r>
    <s v="NEET2023100601"/>
    <x v="1"/>
    <x v="553"/>
    <x v="2"/>
    <x v="13"/>
    <x v="5"/>
    <x v="4"/>
    <x v="0"/>
    <n v="149"/>
    <n v="175"/>
    <n v="127"/>
    <n v="451"/>
    <x v="3"/>
  </r>
  <r>
    <s v="NEET2024100602"/>
    <x v="0"/>
    <x v="384"/>
    <x v="0"/>
    <x v="2"/>
    <x v="1"/>
    <x v="3"/>
    <x v="3"/>
    <n v="149"/>
    <n v="150"/>
    <n v="178"/>
    <n v="477"/>
    <x v="2"/>
  </r>
  <r>
    <s v="NEET2026100603"/>
    <x v="0"/>
    <x v="23"/>
    <x v="4"/>
    <x v="6"/>
    <x v="3"/>
    <x v="4"/>
    <x v="0"/>
    <n v="114"/>
    <n v="113"/>
    <n v="292"/>
    <n v="519"/>
    <x v="0"/>
  </r>
  <r>
    <s v="NEET2025100604"/>
    <x v="0"/>
    <x v="554"/>
    <x v="6"/>
    <x v="14"/>
    <x v="0"/>
    <x v="4"/>
    <x v="0"/>
    <n v="148"/>
    <n v="73"/>
    <n v="204"/>
    <n v="425"/>
    <x v="0"/>
  </r>
  <r>
    <s v="NEET2026100605"/>
    <x v="1"/>
    <x v="555"/>
    <x v="3"/>
    <x v="8"/>
    <x v="0"/>
    <x v="1"/>
    <x v="1"/>
    <n v="48"/>
    <n v="107"/>
    <n v="332"/>
    <n v="487"/>
    <x v="1"/>
  </r>
  <r>
    <s v="NEET2025100606"/>
    <x v="0"/>
    <x v="556"/>
    <x v="1"/>
    <x v="7"/>
    <x v="0"/>
    <x v="4"/>
    <x v="1"/>
    <n v="153"/>
    <n v="128"/>
    <n v="93"/>
    <n v="374"/>
    <x v="3"/>
  </r>
  <r>
    <s v="NEET2026100607"/>
    <x v="0"/>
    <x v="81"/>
    <x v="1"/>
    <x v="6"/>
    <x v="3"/>
    <x v="3"/>
    <x v="1"/>
    <n v="90"/>
    <n v="74"/>
    <n v="99"/>
    <n v="263"/>
    <x v="0"/>
  </r>
  <r>
    <s v="NEET2023100608"/>
    <x v="1"/>
    <x v="557"/>
    <x v="8"/>
    <x v="7"/>
    <x v="0"/>
    <x v="4"/>
    <x v="3"/>
    <n v="108"/>
    <n v="133"/>
    <n v="95"/>
    <n v="336"/>
    <x v="0"/>
  </r>
  <r>
    <s v="NEET2024100609"/>
    <x v="0"/>
    <x v="558"/>
    <x v="5"/>
    <x v="12"/>
    <x v="0"/>
    <x v="0"/>
    <x v="1"/>
    <n v="65"/>
    <n v="178"/>
    <n v="60"/>
    <n v="303"/>
    <x v="3"/>
  </r>
  <r>
    <s v="NEET2024100610"/>
    <x v="1"/>
    <x v="559"/>
    <x v="6"/>
    <x v="4"/>
    <x v="0"/>
    <x v="0"/>
    <x v="3"/>
    <n v="177"/>
    <n v="144"/>
    <n v="160"/>
    <n v="481"/>
    <x v="3"/>
  </r>
  <r>
    <s v="NEET2023100611"/>
    <x v="1"/>
    <x v="560"/>
    <x v="6"/>
    <x v="6"/>
    <x v="3"/>
    <x v="3"/>
    <x v="2"/>
    <n v="118"/>
    <n v="52"/>
    <n v="358"/>
    <n v="528"/>
    <x v="0"/>
  </r>
  <r>
    <s v="NEET2025100612"/>
    <x v="0"/>
    <x v="561"/>
    <x v="6"/>
    <x v="10"/>
    <x v="4"/>
    <x v="2"/>
    <x v="3"/>
    <n v="170"/>
    <n v="43"/>
    <n v="60"/>
    <n v="273"/>
    <x v="1"/>
  </r>
  <r>
    <s v="NEET2026100613"/>
    <x v="1"/>
    <x v="562"/>
    <x v="6"/>
    <x v="6"/>
    <x v="3"/>
    <x v="0"/>
    <x v="1"/>
    <n v="130"/>
    <n v="111"/>
    <n v="255"/>
    <n v="496"/>
    <x v="1"/>
  </r>
  <r>
    <s v="NEET2026100614"/>
    <x v="1"/>
    <x v="563"/>
    <x v="0"/>
    <x v="7"/>
    <x v="0"/>
    <x v="1"/>
    <x v="1"/>
    <n v="151"/>
    <n v="65"/>
    <n v="156"/>
    <n v="372"/>
    <x v="3"/>
  </r>
  <r>
    <s v="NEET2023100615"/>
    <x v="0"/>
    <x v="564"/>
    <x v="0"/>
    <x v="7"/>
    <x v="0"/>
    <x v="4"/>
    <x v="1"/>
    <n v="64"/>
    <n v="32"/>
    <n v="96"/>
    <n v="192"/>
    <x v="1"/>
  </r>
  <r>
    <s v="NEET2024100616"/>
    <x v="1"/>
    <x v="565"/>
    <x v="5"/>
    <x v="7"/>
    <x v="0"/>
    <x v="0"/>
    <x v="1"/>
    <n v="136"/>
    <n v="146"/>
    <n v="277"/>
    <n v="559"/>
    <x v="2"/>
  </r>
  <r>
    <s v="NEET2023100617"/>
    <x v="1"/>
    <x v="566"/>
    <x v="6"/>
    <x v="9"/>
    <x v="0"/>
    <x v="0"/>
    <x v="2"/>
    <n v="87"/>
    <n v="77"/>
    <n v="277"/>
    <n v="441"/>
    <x v="3"/>
  </r>
  <r>
    <s v="NEET2023100618"/>
    <x v="0"/>
    <x v="567"/>
    <x v="6"/>
    <x v="10"/>
    <x v="4"/>
    <x v="3"/>
    <x v="1"/>
    <n v="169"/>
    <n v="177"/>
    <n v="247"/>
    <n v="593"/>
    <x v="0"/>
  </r>
  <r>
    <s v="NEET2025100619"/>
    <x v="1"/>
    <x v="568"/>
    <x v="1"/>
    <x v="14"/>
    <x v="0"/>
    <x v="0"/>
    <x v="0"/>
    <n v="50"/>
    <n v="66"/>
    <n v="329"/>
    <n v="445"/>
    <x v="0"/>
  </r>
  <r>
    <s v="NEET2025100620"/>
    <x v="0"/>
    <x v="569"/>
    <x v="4"/>
    <x v="14"/>
    <x v="0"/>
    <x v="0"/>
    <x v="3"/>
    <n v="49"/>
    <n v="168"/>
    <n v="356"/>
    <n v="573"/>
    <x v="0"/>
  </r>
  <r>
    <s v="NEET2025100621"/>
    <x v="1"/>
    <x v="140"/>
    <x v="8"/>
    <x v="14"/>
    <x v="0"/>
    <x v="3"/>
    <x v="3"/>
    <n v="161"/>
    <n v="150"/>
    <n v="353"/>
    <n v="664"/>
    <x v="3"/>
  </r>
  <r>
    <s v="NEET2023100622"/>
    <x v="1"/>
    <x v="570"/>
    <x v="5"/>
    <x v="11"/>
    <x v="0"/>
    <x v="0"/>
    <x v="2"/>
    <n v="107"/>
    <n v="174"/>
    <n v="193"/>
    <n v="474"/>
    <x v="0"/>
  </r>
  <r>
    <s v="NEET2023100623"/>
    <x v="0"/>
    <x v="571"/>
    <x v="0"/>
    <x v="3"/>
    <x v="0"/>
    <x v="3"/>
    <x v="0"/>
    <n v="36"/>
    <n v="103"/>
    <n v="308"/>
    <n v="447"/>
    <x v="3"/>
  </r>
  <r>
    <s v="NEET2023100624"/>
    <x v="0"/>
    <x v="31"/>
    <x v="5"/>
    <x v="4"/>
    <x v="0"/>
    <x v="0"/>
    <x v="2"/>
    <n v="101"/>
    <n v="100"/>
    <n v="191"/>
    <n v="392"/>
    <x v="1"/>
  </r>
  <r>
    <s v="NEET2024100625"/>
    <x v="1"/>
    <x v="572"/>
    <x v="0"/>
    <x v="14"/>
    <x v="0"/>
    <x v="0"/>
    <x v="2"/>
    <n v="124"/>
    <n v="74"/>
    <n v="193"/>
    <n v="391"/>
    <x v="0"/>
  </r>
  <r>
    <s v="NEET2026100626"/>
    <x v="1"/>
    <x v="573"/>
    <x v="3"/>
    <x v="0"/>
    <x v="0"/>
    <x v="4"/>
    <x v="2"/>
    <n v="67"/>
    <n v="69"/>
    <n v="313"/>
    <n v="449"/>
    <x v="1"/>
  </r>
  <r>
    <s v="NEET2023100627"/>
    <x v="0"/>
    <x v="574"/>
    <x v="4"/>
    <x v="4"/>
    <x v="0"/>
    <x v="4"/>
    <x v="2"/>
    <n v="118"/>
    <n v="43"/>
    <n v="195"/>
    <n v="356"/>
    <x v="2"/>
  </r>
  <r>
    <s v="NEET2026100628"/>
    <x v="1"/>
    <x v="342"/>
    <x v="8"/>
    <x v="3"/>
    <x v="0"/>
    <x v="3"/>
    <x v="1"/>
    <n v="151"/>
    <n v="166"/>
    <n v="179"/>
    <n v="496"/>
    <x v="1"/>
  </r>
  <r>
    <s v="NEET2026100629"/>
    <x v="1"/>
    <x v="575"/>
    <x v="1"/>
    <x v="5"/>
    <x v="2"/>
    <x v="0"/>
    <x v="3"/>
    <n v="141"/>
    <n v="33"/>
    <n v="207"/>
    <n v="381"/>
    <x v="0"/>
  </r>
  <r>
    <s v="NEET2025100630"/>
    <x v="1"/>
    <x v="576"/>
    <x v="5"/>
    <x v="10"/>
    <x v="4"/>
    <x v="3"/>
    <x v="3"/>
    <n v="166"/>
    <n v="120"/>
    <n v="281"/>
    <n v="567"/>
    <x v="0"/>
  </r>
  <r>
    <s v="NEET2024100631"/>
    <x v="0"/>
    <x v="101"/>
    <x v="4"/>
    <x v="2"/>
    <x v="1"/>
    <x v="1"/>
    <x v="3"/>
    <n v="179"/>
    <n v="130"/>
    <n v="296"/>
    <n v="605"/>
    <x v="3"/>
  </r>
  <r>
    <s v="NEET2026100632"/>
    <x v="0"/>
    <x v="577"/>
    <x v="1"/>
    <x v="11"/>
    <x v="0"/>
    <x v="4"/>
    <x v="0"/>
    <n v="32"/>
    <n v="47"/>
    <n v="66"/>
    <n v="145"/>
    <x v="3"/>
  </r>
  <r>
    <s v="NEET2023100633"/>
    <x v="0"/>
    <x v="578"/>
    <x v="4"/>
    <x v="6"/>
    <x v="3"/>
    <x v="2"/>
    <x v="0"/>
    <n v="102"/>
    <n v="94"/>
    <n v="158"/>
    <n v="354"/>
    <x v="1"/>
  </r>
  <r>
    <s v="NEET2024100634"/>
    <x v="1"/>
    <x v="579"/>
    <x v="1"/>
    <x v="2"/>
    <x v="1"/>
    <x v="2"/>
    <x v="2"/>
    <n v="61"/>
    <n v="60"/>
    <n v="104"/>
    <n v="225"/>
    <x v="1"/>
  </r>
  <r>
    <s v="NEET2025100635"/>
    <x v="1"/>
    <x v="482"/>
    <x v="4"/>
    <x v="3"/>
    <x v="0"/>
    <x v="3"/>
    <x v="3"/>
    <n v="149"/>
    <n v="49"/>
    <n v="292"/>
    <n v="490"/>
    <x v="1"/>
  </r>
  <r>
    <s v="NEET2026100636"/>
    <x v="1"/>
    <x v="580"/>
    <x v="2"/>
    <x v="0"/>
    <x v="0"/>
    <x v="3"/>
    <x v="0"/>
    <n v="100"/>
    <n v="45"/>
    <n v="255"/>
    <n v="400"/>
    <x v="3"/>
  </r>
  <r>
    <s v="NEET2026100637"/>
    <x v="0"/>
    <x v="581"/>
    <x v="4"/>
    <x v="14"/>
    <x v="0"/>
    <x v="2"/>
    <x v="1"/>
    <n v="47"/>
    <n v="155"/>
    <n v="162"/>
    <n v="364"/>
    <x v="1"/>
  </r>
  <r>
    <s v="NEET2026100638"/>
    <x v="1"/>
    <x v="551"/>
    <x v="1"/>
    <x v="13"/>
    <x v="5"/>
    <x v="2"/>
    <x v="0"/>
    <n v="140"/>
    <n v="85"/>
    <n v="114"/>
    <n v="339"/>
    <x v="0"/>
  </r>
  <r>
    <s v="NEET2026100639"/>
    <x v="0"/>
    <x v="582"/>
    <x v="7"/>
    <x v="4"/>
    <x v="0"/>
    <x v="2"/>
    <x v="0"/>
    <n v="94"/>
    <n v="144"/>
    <n v="69"/>
    <n v="307"/>
    <x v="2"/>
  </r>
  <r>
    <s v="NEET2023100640"/>
    <x v="1"/>
    <x v="480"/>
    <x v="3"/>
    <x v="7"/>
    <x v="0"/>
    <x v="4"/>
    <x v="1"/>
    <n v="114"/>
    <n v="130"/>
    <n v="354"/>
    <n v="598"/>
    <x v="2"/>
  </r>
  <r>
    <s v="NEET2023100641"/>
    <x v="1"/>
    <x v="583"/>
    <x v="2"/>
    <x v="13"/>
    <x v="5"/>
    <x v="2"/>
    <x v="1"/>
    <n v="47"/>
    <n v="168"/>
    <n v="175"/>
    <n v="390"/>
    <x v="3"/>
  </r>
  <r>
    <s v="NEET2023100642"/>
    <x v="1"/>
    <x v="584"/>
    <x v="3"/>
    <x v="2"/>
    <x v="1"/>
    <x v="2"/>
    <x v="3"/>
    <n v="107"/>
    <n v="132"/>
    <n v="88"/>
    <n v="327"/>
    <x v="2"/>
  </r>
  <r>
    <s v="NEET2023100643"/>
    <x v="1"/>
    <x v="585"/>
    <x v="2"/>
    <x v="13"/>
    <x v="5"/>
    <x v="3"/>
    <x v="2"/>
    <n v="104"/>
    <n v="81"/>
    <n v="150"/>
    <n v="335"/>
    <x v="2"/>
  </r>
  <r>
    <s v="NEET2026100644"/>
    <x v="0"/>
    <x v="586"/>
    <x v="5"/>
    <x v="2"/>
    <x v="1"/>
    <x v="2"/>
    <x v="2"/>
    <n v="121"/>
    <n v="154"/>
    <n v="103"/>
    <n v="378"/>
    <x v="1"/>
  </r>
  <r>
    <s v="NEET2023100645"/>
    <x v="1"/>
    <x v="587"/>
    <x v="7"/>
    <x v="6"/>
    <x v="3"/>
    <x v="0"/>
    <x v="1"/>
    <n v="91"/>
    <n v="155"/>
    <n v="259"/>
    <n v="505"/>
    <x v="2"/>
  </r>
  <r>
    <s v="NEET2023100646"/>
    <x v="1"/>
    <x v="588"/>
    <x v="7"/>
    <x v="11"/>
    <x v="0"/>
    <x v="1"/>
    <x v="0"/>
    <n v="116"/>
    <n v="44"/>
    <n v="232"/>
    <n v="392"/>
    <x v="2"/>
  </r>
  <r>
    <s v="NEET2024100647"/>
    <x v="0"/>
    <x v="589"/>
    <x v="0"/>
    <x v="5"/>
    <x v="2"/>
    <x v="1"/>
    <x v="0"/>
    <n v="167"/>
    <n v="68"/>
    <n v="356"/>
    <n v="591"/>
    <x v="2"/>
  </r>
  <r>
    <s v="NEET2024100648"/>
    <x v="0"/>
    <x v="590"/>
    <x v="0"/>
    <x v="11"/>
    <x v="0"/>
    <x v="2"/>
    <x v="2"/>
    <n v="150"/>
    <n v="41"/>
    <n v="184"/>
    <n v="375"/>
    <x v="3"/>
  </r>
  <r>
    <s v="NEET2023100649"/>
    <x v="0"/>
    <x v="349"/>
    <x v="9"/>
    <x v="0"/>
    <x v="0"/>
    <x v="0"/>
    <x v="1"/>
    <n v="146"/>
    <n v="73"/>
    <n v="92"/>
    <n v="311"/>
    <x v="1"/>
  </r>
  <r>
    <s v="NEET2026100650"/>
    <x v="1"/>
    <x v="164"/>
    <x v="7"/>
    <x v="13"/>
    <x v="5"/>
    <x v="0"/>
    <x v="0"/>
    <n v="81"/>
    <n v="139"/>
    <n v="232"/>
    <n v="452"/>
    <x v="1"/>
  </r>
  <r>
    <s v="NEET2025100651"/>
    <x v="0"/>
    <x v="591"/>
    <x v="3"/>
    <x v="5"/>
    <x v="2"/>
    <x v="3"/>
    <x v="0"/>
    <n v="84"/>
    <n v="41"/>
    <n v="148"/>
    <n v="273"/>
    <x v="1"/>
  </r>
  <r>
    <s v="NEET2024100652"/>
    <x v="1"/>
    <x v="592"/>
    <x v="2"/>
    <x v="1"/>
    <x v="0"/>
    <x v="0"/>
    <x v="2"/>
    <n v="73"/>
    <n v="124"/>
    <n v="343"/>
    <n v="540"/>
    <x v="0"/>
  </r>
  <r>
    <s v="NEET2026100653"/>
    <x v="0"/>
    <x v="163"/>
    <x v="5"/>
    <x v="0"/>
    <x v="0"/>
    <x v="2"/>
    <x v="0"/>
    <n v="126"/>
    <n v="70"/>
    <n v="68"/>
    <n v="264"/>
    <x v="1"/>
  </r>
  <r>
    <s v="NEET2024100654"/>
    <x v="0"/>
    <x v="593"/>
    <x v="5"/>
    <x v="6"/>
    <x v="3"/>
    <x v="3"/>
    <x v="2"/>
    <n v="102"/>
    <n v="136"/>
    <n v="303"/>
    <n v="541"/>
    <x v="2"/>
  </r>
  <r>
    <s v="NEET2026100655"/>
    <x v="0"/>
    <x v="594"/>
    <x v="6"/>
    <x v="12"/>
    <x v="0"/>
    <x v="3"/>
    <x v="3"/>
    <n v="74"/>
    <n v="39"/>
    <n v="152"/>
    <n v="265"/>
    <x v="2"/>
  </r>
  <r>
    <s v="NEET2023100656"/>
    <x v="1"/>
    <x v="595"/>
    <x v="7"/>
    <x v="8"/>
    <x v="0"/>
    <x v="4"/>
    <x v="2"/>
    <n v="90"/>
    <n v="79"/>
    <n v="120"/>
    <n v="289"/>
    <x v="1"/>
  </r>
  <r>
    <s v="NEET2026100657"/>
    <x v="1"/>
    <x v="596"/>
    <x v="3"/>
    <x v="11"/>
    <x v="0"/>
    <x v="1"/>
    <x v="2"/>
    <n v="79"/>
    <n v="58"/>
    <n v="136"/>
    <n v="273"/>
    <x v="0"/>
  </r>
  <r>
    <s v="NEET2026100658"/>
    <x v="1"/>
    <x v="597"/>
    <x v="7"/>
    <x v="2"/>
    <x v="1"/>
    <x v="0"/>
    <x v="3"/>
    <n v="123"/>
    <n v="102"/>
    <n v="167"/>
    <n v="392"/>
    <x v="2"/>
  </r>
  <r>
    <s v="NEET2024100659"/>
    <x v="0"/>
    <x v="598"/>
    <x v="7"/>
    <x v="0"/>
    <x v="0"/>
    <x v="0"/>
    <x v="1"/>
    <n v="43"/>
    <n v="167"/>
    <n v="150"/>
    <n v="360"/>
    <x v="0"/>
  </r>
  <r>
    <s v="NEET2025100660"/>
    <x v="1"/>
    <x v="599"/>
    <x v="7"/>
    <x v="10"/>
    <x v="4"/>
    <x v="3"/>
    <x v="2"/>
    <n v="90"/>
    <n v="143"/>
    <n v="356"/>
    <n v="589"/>
    <x v="1"/>
  </r>
  <r>
    <s v="NEET2024100661"/>
    <x v="1"/>
    <x v="600"/>
    <x v="2"/>
    <x v="0"/>
    <x v="0"/>
    <x v="4"/>
    <x v="2"/>
    <n v="113"/>
    <n v="88"/>
    <n v="110"/>
    <n v="311"/>
    <x v="1"/>
  </r>
  <r>
    <s v="NEET2026100662"/>
    <x v="0"/>
    <x v="601"/>
    <x v="7"/>
    <x v="14"/>
    <x v="0"/>
    <x v="0"/>
    <x v="2"/>
    <n v="179"/>
    <n v="154"/>
    <n v="87"/>
    <n v="420"/>
    <x v="2"/>
  </r>
  <r>
    <s v="NEET2024100663"/>
    <x v="1"/>
    <x v="602"/>
    <x v="4"/>
    <x v="1"/>
    <x v="0"/>
    <x v="1"/>
    <x v="3"/>
    <n v="125"/>
    <n v="64"/>
    <n v="294"/>
    <n v="483"/>
    <x v="3"/>
  </r>
  <r>
    <s v="NEET2024100664"/>
    <x v="0"/>
    <x v="603"/>
    <x v="5"/>
    <x v="11"/>
    <x v="0"/>
    <x v="4"/>
    <x v="1"/>
    <n v="175"/>
    <n v="45"/>
    <n v="203"/>
    <n v="423"/>
    <x v="2"/>
  </r>
  <r>
    <s v="NEET2024100665"/>
    <x v="0"/>
    <x v="604"/>
    <x v="4"/>
    <x v="13"/>
    <x v="5"/>
    <x v="2"/>
    <x v="2"/>
    <n v="117"/>
    <n v="86"/>
    <n v="211"/>
    <n v="414"/>
    <x v="2"/>
  </r>
  <r>
    <s v="NEET2025100666"/>
    <x v="0"/>
    <x v="605"/>
    <x v="8"/>
    <x v="14"/>
    <x v="0"/>
    <x v="1"/>
    <x v="1"/>
    <n v="85"/>
    <n v="151"/>
    <n v="296"/>
    <n v="532"/>
    <x v="1"/>
  </r>
  <r>
    <s v="NEET2023100667"/>
    <x v="1"/>
    <x v="606"/>
    <x v="3"/>
    <x v="1"/>
    <x v="0"/>
    <x v="2"/>
    <x v="0"/>
    <n v="178"/>
    <n v="86"/>
    <n v="136"/>
    <n v="400"/>
    <x v="2"/>
  </r>
  <r>
    <s v="NEET2026100668"/>
    <x v="1"/>
    <x v="607"/>
    <x v="2"/>
    <x v="13"/>
    <x v="5"/>
    <x v="4"/>
    <x v="0"/>
    <n v="159"/>
    <n v="38"/>
    <n v="277"/>
    <n v="474"/>
    <x v="2"/>
  </r>
  <r>
    <s v="NEET2024100669"/>
    <x v="0"/>
    <x v="224"/>
    <x v="4"/>
    <x v="0"/>
    <x v="0"/>
    <x v="3"/>
    <x v="3"/>
    <n v="172"/>
    <n v="33"/>
    <n v="268"/>
    <n v="473"/>
    <x v="1"/>
  </r>
  <r>
    <s v="NEET2024100670"/>
    <x v="1"/>
    <x v="608"/>
    <x v="0"/>
    <x v="0"/>
    <x v="0"/>
    <x v="4"/>
    <x v="0"/>
    <n v="34"/>
    <n v="152"/>
    <n v="216"/>
    <n v="402"/>
    <x v="2"/>
  </r>
  <r>
    <s v="NEET2026100671"/>
    <x v="0"/>
    <x v="609"/>
    <x v="2"/>
    <x v="7"/>
    <x v="0"/>
    <x v="4"/>
    <x v="0"/>
    <n v="133"/>
    <n v="77"/>
    <n v="249"/>
    <n v="459"/>
    <x v="3"/>
  </r>
  <r>
    <s v="NEET2024100672"/>
    <x v="0"/>
    <x v="107"/>
    <x v="1"/>
    <x v="11"/>
    <x v="0"/>
    <x v="2"/>
    <x v="3"/>
    <n v="105"/>
    <n v="139"/>
    <n v="198"/>
    <n v="442"/>
    <x v="3"/>
  </r>
  <r>
    <s v="NEET2023100673"/>
    <x v="1"/>
    <x v="610"/>
    <x v="7"/>
    <x v="0"/>
    <x v="0"/>
    <x v="1"/>
    <x v="3"/>
    <n v="128"/>
    <n v="123"/>
    <n v="298"/>
    <n v="549"/>
    <x v="0"/>
  </r>
  <r>
    <s v="NEET2024100674"/>
    <x v="0"/>
    <x v="511"/>
    <x v="1"/>
    <x v="6"/>
    <x v="3"/>
    <x v="0"/>
    <x v="1"/>
    <n v="82"/>
    <n v="65"/>
    <n v="231"/>
    <n v="378"/>
    <x v="1"/>
  </r>
  <r>
    <s v="NEET2025100675"/>
    <x v="1"/>
    <x v="611"/>
    <x v="2"/>
    <x v="6"/>
    <x v="3"/>
    <x v="2"/>
    <x v="3"/>
    <n v="87"/>
    <n v="112"/>
    <n v="240"/>
    <n v="439"/>
    <x v="0"/>
  </r>
  <r>
    <s v="NEET2023100676"/>
    <x v="1"/>
    <x v="612"/>
    <x v="6"/>
    <x v="9"/>
    <x v="0"/>
    <x v="4"/>
    <x v="3"/>
    <n v="145"/>
    <n v="154"/>
    <n v="316"/>
    <n v="615"/>
    <x v="3"/>
  </r>
  <r>
    <s v="NEET2023100677"/>
    <x v="0"/>
    <x v="460"/>
    <x v="9"/>
    <x v="2"/>
    <x v="1"/>
    <x v="1"/>
    <x v="1"/>
    <n v="46"/>
    <n v="78"/>
    <n v="294"/>
    <n v="418"/>
    <x v="3"/>
  </r>
  <r>
    <s v="NEET2024100678"/>
    <x v="1"/>
    <x v="613"/>
    <x v="7"/>
    <x v="0"/>
    <x v="0"/>
    <x v="1"/>
    <x v="2"/>
    <n v="72"/>
    <n v="100"/>
    <n v="117"/>
    <n v="289"/>
    <x v="0"/>
  </r>
  <r>
    <s v="NEET2025100679"/>
    <x v="1"/>
    <x v="614"/>
    <x v="3"/>
    <x v="1"/>
    <x v="0"/>
    <x v="2"/>
    <x v="1"/>
    <n v="168"/>
    <n v="63"/>
    <n v="302"/>
    <n v="533"/>
    <x v="3"/>
  </r>
  <r>
    <s v="NEET2025100680"/>
    <x v="1"/>
    <x v="615"/>
    <x v="4"/>
    <x v="0"/>
    <x v="0"/>
    <x v="3"/>
    <x v="3"/>
    <n v="35"/>
    <n v="89"/>
    <n v="326"/>
    <n v="450"/>
    <x v="2"/>
  </r>
  <r>
    <s v="NEET2026100681"/>
    <x v="1"/>
    <x v="616"/>
    <x v="1"/>
    <x v="2"/>
    <x v="1"/>
    <x v="3"/>
    <x v="2"/>
    <n v="165"/>
    <n v="170"/>
    <n v="287"/>
    <n v="622"/>
    <x v="1"/>
  </r>
  <r>
    <s v="NEET2025100682"/>
    <x v="0"/>
    <x v="261"/>
    <x v="2"/>
    <x v="3"/>
    <x v="0"/>
    <x v="3"/>
    <x v="2"/>
    <n v="88"/>
    <n v="153"/>
    <n v="250"/>
    <n v="491"/>
    <x v="3"/>
  </r>
  <r>
    <s v="NEET2024100683"/>
    <x v="0"/>
    <x v="617"/>
    <x v="8"/>
    <x v="7"/>
    <x v="0"/>
    <x v="1"/>
    <x v="2"/>
    <n v="71"/>
    <n v="167"/>
    <n v="206"/>
    <n v="444"/>
    <x v="1"/>
  </r>
  <r>
    <s v="NEET2026100684"/>
    <x v="1"/>
    <x v="618"/>
    <x v="5"/>
    <x v="11"/>
    <x v="0"/>
    <x v="1"/>
    <x v="3"/>
    <n v="111"/>
    <n v="177"/>
    <n v="124"/>
    <n v="412"/>
    <x v="1"/>
  </r>
  <r>
    <s v="NEET2024100685"/>
    <x v="1"/>
    <x v="619"/>
    <x v="1"/>
    <x v="6"/>
    <x v="3"/>
    <x v="0"/>
    <x v="1"/>
    <n v="38"/>
    <n v="111"/>
    <n v="236"/>
    <n v="385"/>
    <x v="1"/>
  </r>
  <r>
    <s v="NEET2026100686"/>
    <x v="0"/>
    <x v="620"/>
    <x v="1"/>
    <x v="3"/>
    <x v="0"/>
    <x v="3"/>
    <x v="1"/>
    <n v="61"/>
    <n v="36"/>
    <n v="267"/>
    <n v="364"/>
    <x v="1"/>
  </r>
  <r>
    <s v="NEET2025100687"/>
    <x v="1"/>
    <x v="621"/>
    <x v="7"/>
    <x v="6"/>
    <x v="3"/>
    <x v="0"/>
    <x v="3"/>
    <n v="169"/>
    <n v="159"/>
    <n v="229"/>
    <n v="557"/>
    <x v="1"/>
  </r>
  <r>
    <s v="NEET2026100688"/>
    <x v="0"/>
    <x v="622"/>
    <x v="9"/>
    <x v="4"/>
    <x v="0"/>
    <x v="0"/>
    <x v="2"/>
    <n v="143"/>
    <n v="116"/>
    <n v="117"/>
    <n v="376"/>
    <x v="0"/>
  </r>
  <r>
    <s v="NEET2025100689"/>
    <x v="0"/>
    <x v="623"/>
    <x v="3"/>
    <x v="11"/>
    <x v="0"/>
    <x v="2"/>
    <x v="3"/>
    <n v="132"/>
    <n v="86"/>
    <n v="288"/>
    <n v="506"/>
    <x v="1"/>
  </r>
  <r>
    <s v="NEET2023100690"/>
    <x v="0"/>
    <x v="624"/>
    <x v="1"/>
    <x v="8"/>
    <x v="0"/>
    <x v="2"/>
    <x v="1"/>
    <n v="86"/>
    <n v="101"/>
    <n v="160"/>
    <n v="347"/>
    <x v="2"/>
  </r>
  <r>
    <s v="NEET2025100691"/>
    <x v="1"/>
    <x v="625"/>
    <x v="4"/>
    <x v="14"/>
    <x v="0"/>
    <x v="4"/>
    <x v="2"/>
    <n v="111"/>
    <n v="160"/>
    <n v="88"/>
    <n v="359"/>
    <x v="3"/>
  </r>
  <r>
    <s v="NEET2025100692"/>
    <x v="1"/>
    <x v="94"/>
    <x v="6"/>
    <x v="9"/>
    <x v="0"/>
    <x v="0"/>
    <x v="1"/>
    <n v="33"/>
    <n v="102"/>
    <n v="236"/>
    <n v="371"/>
    <x v="0"/>
  </r>
  <r>
    <s v="NEET2025100693"/>
    <x v="0"/>
    <x v="394"/>
    <x v="4"/>
    <x v="6"/>
    <x v="3"/>
    <x v="4"/>
    <x v="1"/>
    <n v="143"/>
    <n v="136"/>
    <n v="286"/>
    <n v="565"/>
    <x v="1"/>
  </r>
  <r>
    <s v="NEET2025100694"/>
    <x v="1"/>
    <x v="626"/>
    <x v="1"/>
    <x v="4"/>
    <x v="0"/>
    <x v="2"/>
    <x v="3"/>
    <n v="52"/>
    <n v="66"/>
    <n v="166"/>
    <n v="284"/>
    <x v="2"/>
  </r>
  <r>
    <s v="NEET2024100695"/>
    <x v="1"/>
    <x v="627"/>
    <x v="5"/>
    <x v="11"/>
    <x v="0"/>
    <x v="1"/>
    <x v="2"/>
    <n v="134"/>
    <n v="99"/>
    <n v="272"/>
    <n v="505"/>
    <x v="1"/>
  </r>
  <r>
    <s v="NEET2025100696"/>
    <x v="1"/>
    <x v="628"/>
    <x v="6"/>
    <x v="3"/>
    <x v="0"/>
    <x v="0"/>
    <x v="1"/>
    <n v="171"/>
    <n v="155"/>
    <n v="81"/>
    <n v="407"/>
    <x v="2"/>
  </r>
  <r>
    <s v="NEET2025100697"/>
    <x v="1"/>
    <x v="304"/>
    <x v="4"/>
    <x v="11"/>
    <x v="0"/>
    <x v="3"/>
    <x v="0"/>
    <n v="30"/>
    <n v="69"/>
    <n v="194"/>
    <n v="293"/>
    <x v="2"/>
  </r>
  <r>
    <s v="NEET2025100698"/>
    <x v="1"/>
    <x v="305"/>
    <x v="4"/>
    <x v="14"/>
    <x v="0"/>
    <x v="0"/>
    <x v="0"/>
    <n v="92"/>
    <n v="37"/>
    <n v="121"/>
    <n v="250"/>
    <x v="3"/>
  </r>
  <r>
    <s v="NEET2026100699"/>
    <x v="0"/>
    <x v="484"/>
    <x v="1"/>
    <x v="14"/>
    <x v="0"/>
    <x v="0"/>
    <x v="3"/>
    <n v="174"/>
    <n v="141"/>
    <n v="192"/>
    <n v="507"/>
    <x v="0"/>
  </r>
  <r>
    <s v="NEET2025100700"/>
    <x v="1"/>
    <x v="629"/>
    <x v="3"/>
    <x v="7"/>
    <x v="0"/>
    <x v="3"/>
    <x v="2"/>
    <n v="178"/>
    <n v="44"/>
    <n v="134"/>
    <n v="356"/>
    <x v="1"/>
  </r>
  <r>
    <s v="NEET2023100701"/>
    <x v="1"/>
    <x v="630"/>
    <x v="7"/>
    <x v="3"/>
    <x v="0"/>
    <x v="0"/>
    <x v="3"/>
    <n v="122"/>
    <n v="137"/>
    <n v="242"/>
    <n v="501"/>
    <x v="0"/>
  </r>
  <r>
    <s v="NEET2025100702"/>
    <x v="1"/>
    <x v="631"/>
    <x v="8"/>
    <x v="12"/>
    <x v="0"/>
    <x v="3"/>
    <x v="3"/>
    <n v="76"/>
    <n v="54"/>
    <n v="145"/>
    <n v="275"/>
    <x v="3"/>
  </r>
  <r>
    <s v="NEET2023100703"/>
    <x v="0"/>
    <x v="632"/>
    <x v="5"/>
    <x v="8"/>
    <x v="0"/>
    <x v="3"/>
    <x v="3"/>
    <n v="178"/>
    <n v="120"/>
    <n v="133"/>
    <n v="431"/>
    <x v="2"/>
  </r>
  <r>
    <s v="NEET2024100704"/>
    <x v="0"/>
    <x v="594"/>
    <x v="6"/>
    <x v="9"/>
    <x v="0"/>
    <x v="0"/>
    <x v="2"/>
    <n v="71"/>
    <n v="56"/>
    <n v="171"/>
    <n v="298"/>
    <x v="0"/>
  </r>
  <r>
    <s v="NEET2023100705"/>
    <x v="1"/>
    <x v="633"/>
    <x v="6"/>
    <x v="14"/>
    <x v="0"/>
    <x v="3"/>
    <x v="3"/>
    <n v="49"/>
    <n v="59"/>
    <n v="127"/>
    <n v="235"/>
    <x v="3"/>
  </r>
  <r>
    <s v="NEET2024100706"/>
    <x v="1"/>
    <x v="634"/>
    <x v="5"/>
    <x v="5"/>
    <x v="2"/>
    <x v="2"/>
    <x v="0"/>
    <n v="143"/>
    <n v="163"/>
    <n v="235"/>
    <n v="541"/>
    <x v="1"/>
  </r>
  <r>
    <s v="NEET2024100707"/>
    <x v="0"/>
    <x v="635"/>
    <x v="5"/>
    <x v="5"/>
    <x v="2"/>
    <x v="2"/>
    <x v="2"/>
    <n v="66"/>
    <n v="88"/>
    <n v="217"/>
    <n v="371"/>
    <x v="2"/>
  </r>
  <r>
    <s v="NEET2026100708"/>
    <x v="1"/>
    <x v="636"/>
    <x v="0"/>
    <x v="13"/>
    <x v="5"/>
    <x v="1"/>
    <x v="0"/>
    <n v="58"/>
    <n v="49"/>
    <n v="69"/>
    <n v="176"/>
    <x v="0"/>
  </r>
  <r>
    <s v="NEET2023100709"/>
    <x v="1"/>
    <x v="637"/>
    <x v="7"/>
    <x v="13"/>
    <x v="5"/>
    <x v="2"/>
    <x v="0"/>
    <n v="161"/>
    <n v="45"/>
    <n v="300"/>
    <n v="506"/>
    <x v="3"/>
  </r>
  <r>
    <s v="NEET2024100710"/>
    <x v="0"/>
    <x v="638"/>
    <x v="0"/>
    <x v="11"/>
    <x v="0"/>
    <x v="2"/>
    <x v="3"/>
    <n v="54"/>
    <n v="61"/>
    <n v="165"/>
    <n v="280"/>
    <x v="0"/>
  </r>
  <r>
    <s v="NEET2025100711"/>
    <x v="0"/>
    <x v="517"/>
    <x v="5"/>
    <x v="5"/>
    <x v="2"/>
    <x v="0"/>
    <x v="2"/>
    <n v="101"/>
    <n v="178"/>
    <n v="238"/>
    <n v="517"/>
    <x v="0"/>
  </r>
  <r>
    <s v="NEET2024100712"/>
    <x v="0"/>
    <x v="639"/>
    <x v="5"/>
    <x v="5"/>
    <x v="2"/>
    <x v="1"/>
    <x v="3"/>
    <n v="178"/>
    <n v="33"/>
    <n v="330"/>
    <n v="541"/>
    <x v="0"/>
  </r>
  <r>
    <s v="NEET2025100713"/>
    <x v="0"/>
    <x v="640"/>
    <x v="2"/>
    <x v="0"/>
    <x v="0"/>
    <x v="2"/>
    <x v="1"/>
    <n v="84"/>
    <n v="159"/>
    <n v="303"/>
    <n v="546"/>
    <x v="1"/>
  </r>
  <r>
    <s v="NEET2024100714"/>
    <x v="1"/>
    <x v="641"/>
    <x v="6"/>
    <x v="1"/>
    <x v="0"/>
    <x v="3"/>
    <x v="0"/>
    <n v="138"/>
    <n v="84"/>
    <n v="323"/>
    <n v="545"/>
    <x v="0"/>
  </r>
  <r>
    <s v="NEET2025100715"/>
    <x v="1"/>
    <x v="233"/>
    <x v="8"/>
    <x v="0"/>
    <x v="0"/>
    <x v="2"/>
    <x v="0"/>
    <n v="163"/>
    <n v="64"/>
    <n v="313"/>
    <n v="540"/>
    <x v="3"/>
  </r>
  <r>
    <s v="NEET2025100716"/>
    <x v="1"/>
    <x v="642"/>
    <x v="8"/>
    <x v="0"/>
    <x v="0"/>
    <x v="0"/>
    <x v="2"/>
    <n v="128"/>
    <n v="102"/>
    <n v="293"/>
    <n v="523"/>
    <x v="2"/>
  </r>
  <r>
    <s v="NEET2026100717"/>
    <x v="1"/>
    <x v="380"/>
    <x v="3"/>
    <x v="5"/>
    <x v="2"/>
    <x v="2"/>
    <x v="2"/>
    <n v="139"/>
    <n v="78"/>
    <n v="95"/>
    <n v="312"/>
    <x v="2"/>
  </r>
  <r>
    <s v="NEET2023100718"/>
    <x v="0"/>
    <x v="643"/>
    <x v="0"/>
    <x v="0"/>
    <x v="0"/>
    <x v="4"/>
    <x v="2"/>
    <n v="131"/>
    <n v="142"/>
    <n v="327"/>
    <n v="600"/>
    <x v="2"/>
  </r>
  <r>
    <s v="NEET2025100719"/>
    <x v="0"/>
    <x v="644"/>
    <x v="0"/>
    <x v="4"/>
    <x v="0"/>
    <x v="1"/>
    <x v="3"/>
    <n v="56"/>
    <n v="73"/>
    <n v="93"/>
    <n v="222"/>
    <x v="2"/>
  </r>
  <r>
    <s v="NEET2025100720"/>
    <x v="1"/>
    <x v="645"/>
    <x v="5"/>
    <x v="12"/>
    <x v="0"/>
    <x v="4"/>
    <x v="3"/>
    <n v="138"/>
    <n v="157"/>
    <n v="202"/>
    <n v="497"/>
    <x v="2"/>
  </r>
  <r>
    <s v="NEET2023100721"/>
    <x v="0"/>
    <x v="646"/>
    <x v="8"/>
    <x v="8"/>
    <x v="0"/>
    <x v="4"/>
    <x v="3"/>
    <n v="101"/>
    <n v="67"/>
    <n v="292"/>
    <n v="460"/>
    <x v="2"/>
  </r>
  <r>
    <s v="NEET2023100722"/>
    <x v="0"/>
    <x v="518"/>
    <x v="4"/>
    <x v="2"/>
    <x v="1"/>
    <x v="2"/>
    <x v="1"/>
    <n v="64"/>
    <n v="37"/>
    <n v="110"/>
    <n v="211"/>
    <x v="1"/>
  </r>
  <r>
    <s v="NEET2023100723"/>
    <x v="0"/>
    <x v="647"/>
    <x v="6"/>
    <x v="4"/>
    <x v="0"/>
    <x v="4"/>
    <x v="1"/>
    <n v="113"/>
    <n v="69"/>
    <n v="215"/>
    <n v="397"/>
    <x v="1"/>
  </r>
  <r>
    <s v="NEET2025100724"/>
    <x v="1"/>
    <x v="13"/>
    <x v="3"/>
    <x v="2"/>
    <x v="1"/>
    <x v="2"/>
    <x v="0"/>
    <n v="157"/>
    <n v="155"/>
    <n v="318"/>
    <n v="630"/>
    <x v="2"/>
  </r>
  <r>
    <s v="NEET2026100725"/>
    <x v="1"/>
    <x v="648"/>
    <x v="5"/>
    <x v="1"/>
    <x v="0"/>
    <x v="2"/>
    <x v="0"/>
    <n v="145"/>
    <n v="110"/>
    <n v="252"/>
    <n v="507"/>
    <x v="1"/>
  </r>
  <r>
    <s v="NEET2026100726"/>
    <x v="0"/>
    <x v="649"/>
    <x v="1"/>
    <x v="2"/>
    <x v="1"/>
    <x v="4"/>
    <x v="3"/>
    <n v="107"/>
    <n v="72"/>
    <n v="311"/>
    <n v="490"/>
    <x v="2"/>
  </r>
  <r>
    <s v="NEET2026100727"/>
    <x v="1"/>
    <x v="650"/>
    <x v="2"/>
    <x v="0"/>
    <x v="0"/>
    <x v="0"/>
    <x v="2"/>
    <n v="175"/>
    <n v="155"/>
    <n v="343"/>
    <n v="673"/>
    <x v="0"/>
  </r>
  <r>
    <s v="NEET2025100728"/>
    <x v="1"/>
    <x v="651"/>
    <x v="6"/>
    <x v="3"/>
    <x v="0"/>
    <x v="2"/>
    <x v="0"/>
    <n v="156"/>
    <n v="126"/>
    <n v="240"/>
    <n v="522"/>
    <x v="0"/>
  </r>
  <r>
    <s v="NEET2023100729"/>
    <x v="1"/>
    <x v="652"/>
    <x v="5"/>
    <x v="5"/>
    <x v="2"/>
    <x v="2"/>
    <x v="1"/>
    <n v="123"/>
    <n v="119"/>
    <n v="358"/>
    <n v="600"/>
    <x v="2"/>
  </r>
  <r>
    <s v="NEET2024100730"/>
    <x v="0"/>
    <x v="653"/>
    <x v="3"/>
    <x v="9"/>
    <x v="0"/>
    <x v="3"/>
    <x v="2"/>
    <n v="135"/>
    <n v="119"/>
    <n v="88"/>
    <n v="342"/>
    <x v="0"/>
  </r>
  <r>
    <s v="NEET2024100731"/>
    <x v="0"/>
    <x v="654"/>
    <x v="0"/>
    <x v="0"/>
    <x v="0"/>
    <x v="2"/>
    <x v="3"/>
    <n v="108"/>
    <n v="59"/>
    <n v="232"/>
    <n v="399"/>
    <x v="2"/>
  </r>
  <r>
    <s v="NEET2026100732"/>
    <x v="1"/>
    <x v="490"/>
    <x v="0"/>
    <x v="5"/>
    <x v="2"/>
    <x v="4"/>
    <x v="0"/>
    <n v="138"/>
    <n v="175"/>
    <n v="323"/>
    <n v="636"/>
    <x v="0"/>
  </r>
  <r>
    <s v="NEET2023100733"/>
    <x v="1"/>
    <x v="655"/>
    <x v="3"/>
    <x v="1"/>
    <x v="0"/>
    <x v="1"/>
    <x v="0"/>
    <n v="176"/>
    <n v="129"/>
    <n v="225"/>
    <n v="530"/>
    <x v="3"/>
  </r>
  <r>
    <s v="NEET2025100734"/>
    <x v="1"/>
    <x v="656"/>
    <x v="8"/>
    <x v="8"/>
    <x v="0"/>
    <x v="4"/>
    <x v="2"/>
    <n v="116"/>
    <n v="72"/>
    <n v="213"/>
    <n v="401"/>
    <x v="0"/>
  </r>
  <r>
    <s v="NEET2025100735"/>
    <x v="1"/>
    <x v="657"/>
    <x v="1"/>
    <x v="12"/>
    <x v="0"/>
    <x v="0"/>
    <x v="2"/>
    <n v="103"/>
    <n v="97"/>
    <n v="84"/>
    <n v="284"/>
    <x v="0"/>
  </r>
  <r>
    <s v="NEET2025100736"/>
    <x v="0"/>
    <x v="658"/>
    <x v="2"/>
    <x v="5"/>
    <x v="2"/>
    <x v="4"/>
    <x v="1"/>
    <n v="178"/>
    <n v="54"/>
    <n v="232"/>
    <n v="464"/>
    <x v="1"/>
  </r>
  <r>
    <s v="NEET2025100737"/>
    <x v="1"/>
    <x v="659"/>
    <x v="6"/>
    <x v="13"/>
    <x v="5"/>
    <x v="1"/>
    <x v="3"/>
    <n v="49"/>
    <n v="107"/>
    <n v="318"/>
    <n v="474"/>
    <x v="2"/>
  </r>
  <r>
    <s v="NEET2024100738"/>
    <x v="0"/>
    <x v="660"/>
    <x v="6"/>
    <x v="3"/>
    <x v="0"/>
    <x v="0"/>
    <x v="2"/>
    <n v="161"/>
    <n v="146"/>
    <n v="340"/>
    <n v="647"/>
    <x v="2"/>
  </r>
  <r>
    <s v="NEET2026100739"/>
    <x v="0"/>
    <x v="661"/>
    <x v="4"/>
    <x v="2"/>
    <x v="1"/>
    <x v="3"/>
    <x v="2"/>
    <n v="149"/>
    <n v="98"/>
    <n v="332"/>
    <n v="579"/>
    <x v="2"/>
  </r>
  <r>
    <s v="NEET2026100740"/>
    <x v="1"/>
    <x v="662"/>
    <x v="5"/>
    <x v="12"/>
    <x v="0"/>
    <x v="1"/>
    <x v="0"/>
    <n v="68"/>
    <n v="106"/>
    <n v="282"/>
    <n v="456"/>
    <x v="2"/>
  </r>
  <r>
    <s v="NEET2024100741"/>
    <x v="1"/>
    <x v="663"/>
    <x v="3"/>
    <x v="5"/>
    <x v="2"/>
    <x v="2"/>
    <x v="2"/>
    <n v="103"/>
    <n v="71"/>
    <n v="191"/>
    <n v="365"/>
    <x v="1"/>
  </r>
  <r>
    <s v="NEET2026100742"/>
    <x v="1"/>
    <x v="664"/>
    <x v="4"/>
    <x v="11"/>
    <x v="0"/>
    <x v="2"/>
    <x v="1"/>
    <n v="92"/>
    <n v="109"/>
    <n v="297"/>
    <n v="498"/>
    <x v="1"/>
  </r>
  <r>
    <s v="NEET2025100743"/>
    <x v="0"/>
    <x v="383"/>
    <x v="5"/>
    <x v="3"/>
    <x v="0"/>
    <x v="4"/>
    <x v="0"/>
    <n v="64"/>
    <n v="37"/>
    <n v="192"/>
    <n v="293"/>
    <x v="0"/>
  </r>
  <r>
    <s v="NEET2023100744"/>
    <x v="1"/>
    <x v="665"/>
    <x v="7"/>
    <x v="5"/>
    <x v="2"/>
    <x v="2"/>
    <x v="3"/>
    <n v="51"/>
    <n v="110"/>
    <n v="212"/>
    <n v="373"/>
    <x v="2"/>
  </r>
  <r>
    <s v="NEET2023100745"/>
    <x v="1"/>
    <x v="666"/>
    <x v="2"/>
    <x v="5"/>
    <x v="2"/>
    <x v="2"/>
    <x v="1"/>
    <n v="65"/>
    <n v="90"/>
    <n v="117"/>
    <n v="272"/>
    <x v="1"/>
  </r>
  <r>
    <s v="NEET2026100746"/>
    <x v="0"/>
    <x v="667"/>
    <x v="1"/>
    <x v="0"/>
    <x v="0"/>
    <x v="1"/>
    <x v="1"/>
    <n v="110"/>
    <n v="114"/>
    <n v="359"/>
    <n v="583"/>
    <x v="1"/>
  </r>
  <r>
    <s v="NEET2026100747"/>
    <x v="1"/>
    <x v="586"/>
    <x v="5"/>
    <x v="7"/>
    <x v="0"/>
    <x v="4"/>
    <x v="0"/>
    <n v="84"/>
    <n v="100"/>
    <n v="285"/>
    <n v="469"/>
    <x v="3"/>
  </r>
  <r>
    <s v="NEET2026100748"/>
    <x v="0"/>
    <x v="668"/>
    <x v="0"/>
    <x v="0"/>
    <x v="0"/>
    <x v="1"/>
    <x v="3"/>
    <n v="111"/>
    <n v="169"/>
    <n v="276"/>
    <n v="556"/>
    <x v="3"/>
  </r>
  <r>
    <s v="NEET2023100749"/>
    <x v="0"/>
    <x v="48"/>
    <x v="8"/>
    <x v="6"/>
    <x v="3"/>
    <x v="3"/>
    <x v="2"/>
    <n v="124"/>
    <n v="108"/>
    <n v="70"/>
    <n v="302"/>
    <x v="2"/>
  </r>
  <r>
    <s v="NEET2024100750"/>
    <x v="1"/>
    <x v="669"/>
    <x v="3"/>
    <x v="2"/>
    <x v="1"/>
    <x v="2"/>
    <x v="1"/>
    <n v="122"/>
    <n v="61"/>
    <n v="333"/>
    <n v="516"/>
    <x v="2"/>
  </r>
  <r>
    <s v="NEET2024100751"/>
    <x v="0"/>
    <x v="510"/>
    <x v="4"/>
    <x v="3"/>
    <x v="0"/>
    <x v="3"/>
    <x v="1"/>
    <n v="53"/>
    <n v="90"/>
    <n v="212"/>
    <n v="355"/>
    <x v="2"/>
  </r>
  <r>
    <s v="NEET2026100752"/>
    <x v="1"/>
    <x v="670"/>
    <x v="2"/>
    <x v="11"/>
    <x v="0"/>
    <x v="4"/>
    <x v="3"/>
    <n v="100"/>
    <n v="50"/>
    <n v="311"/>
    <n v="461"/>
    <x v="0"/>
  </r>
  <r>
    <s v="NEET2025100753"/>
    <x v="1"/>
    <x v="377"/>
    <x v="5"/>
    <x v="6"/>
    <x v="3"/>
    <x v="4"/>
    <x v="3"/>
    <n v="96"/>
    <n v="159"/>
    <n v="93"/>
    <n v="348"/>
    <x v="0"/>
  </r>
  <r>
    <s v="NEET2023100754"/>
    <x v="1"/>
    <x v="671"/>
    <x v="2"/>
    <x v="11"/>
    <x v="0"/>
    <x v="3"/>
    <x v="2"/>
    <n v="77"/>
    <n v="143"/>
    <n v="129"/>
    <n v="349"/>
    <x v="3"/>
  </r>
  <r>
    <s v="NEET2024100755"/>
    <x v="1"/>
    <x v="258"/>
    <x v="1"/>
    <x v="0"/>
    <x v="0"/>
    <x v="4"/>
    <x v="3"/>
    <n v="58"/>
    <n v="70"/>
    <n v="187"/>
    <n v="315"/>
    <x v="2"/>
  </r>
  <r>
    <s v="NEET2025100756"/>
    <x v="0"/>
    <x v="672"/>
    <x v="2"/>
    <x v="7"/>
    <x v="0"/>
    <x v="4"/>
    <x v="0"/>
    <n v="96"/>
    <n v="74"/>
    <n v="227"/>
    <n v="397"/>
    <x v="3"/>
  </r>
  <r>
    <s v="NEET2023100757"/>
    <x v="0"/>
    <x v="673"/>
    <x v="4"/>
    <x v="1"/>
    <x v="0"/>
    <x v="2"/>
    <x v="2"/>
    <n v="126"/>
    <n v="176"/>
    <n v="174"/>
    <n v="476"/>
    <x v="2"/>
  </r>
  <r>
    <s v="NEET2026100758"/>
    <x v="1"/>
    <x v="674"/>
    <x v="4"/>
    <x v="3"/>
    <x v="0"/>
    <x v="2"/>
    <x v="2"/>
    <n v="73"/>
    <n v="42"/>
    <n v="265"/>
    <n v="380"/>
    <x v="3"/>
  </r>
  <r>
    <s v="NEET2026100759"/>
    <x v="1"/>
    <x v="675"/>
    <x v="4"/>
    <x v="4"/>
    <x v="0"/>
    <x v="2"/>
    <x v="1"/>
    <n v="60"/>
    <n v="33"/>
    <n v="329"/>
    <n v="422"/>
    <x v="1"/>
  </r>
  <r>
    <s v="NEET2026100760"/>
    <x v="1"/>
    <x v="194"/>
    <x v="2"/>
    <x v="12"/>
    <x v="0"/>
    <x v="4"/>
    <x v="2"/>
    <n v="78"/>
    <n v="98"/>
    <n v="207"/>
    <n v="383"/>
    <x v="1"/>
  </r>
  <r>
    <s v="NEET2024100761"/>
    <x v="1"/>
    <x v="676"/>
    <x v="1"/>
    <x v="12"/>
    <x v="0"/>
    <x v="2"/>
    <x v="2"/>
    <n v="102"/>
    <n v="78"/>
    <n v="274"/>
    <n v="454"/>
    <x v="3"/>
  </r>
  <r>
    <s v="NEET2026100762"/>
    <x v="0"/>
    <x v="174"/>
    <x v="3"/>
    <x v="12"/>
    <x v="0"/>
    <x v="4"/>
    <x v="0"/>
    <n v="145"/>
    <n v="93"/>
    <n v="249"/>
    <n v="487"/>
    <x v="1"/>
  </r>
  <r>
    <s v="NEET2026100763"/>
    <x v="1"/>
    <x v="677"/>
    <x v="3"/>
    <x v="6"/>
    <x v="3"/>
    <x v="2"/>
    <x v="0"/>
    <n v="131"/>
    <n v="84"/>
    <n v="256"/>
    <n v="471"/>
    <x v="0"/>
  </r>
  <r>
    <s v="NEET2023100764"/>
    <x v="0"/>
    <x v="678"/>
    <x v="7"/>
    <x v="9"/>
    <x v="0"/>
    <x v="0"/>
    <x v="3"/>
    <n v="90"/>
    <n v="150"/>
    <n v="241"/>
    <n v="481"/>
    <x v="2"/>
  </r>
  <r>
    <s v="NEET2023100765"/>
    <x v="0"/>
    <x v="679"/>
    <x v="3"/>
    <x v="1"/>
    <x v="0"/>
    <x v="1"/>
    <x v="3"/>
    <n v="124"/>
    <n v="63"/>
    <n v="346"/>
    <n v="533"/>
    <x v="2"/>
  </r>
  <r>
    <s v="NEET2025100766"/>
    <x v="1"/>
    <x v="680"/>
    <x v="3"/>
    <x v="10"/>
    <x v="4"/>
    <x v="3"/>
    <x v="2"/>
    <n v="149"/>
    <n v="63"/>
    <n v="105"/>
    <n v="317"/>
    <x v="0"/>
  </r>
  <r>
    <s v="NEET2025100767"/>
    <x v="1"/>
    <x v="681"/>
    <x v="3"/>
    <x v="11"/>
    <x v="0"/>
    <x v="3"/>
    <x v="3"/>
    <n v="62"/>
    <n v="157"/>
    <n v="203"/>
    <n v="422"/>
    <x v="3"/>
  </r>
  <r>
    <s v="NEET2026100768"/>
    <x v="0"/>
    <x v="682"/>
    <x v="8"/>
    <x v="9"/>
    <x v="0"/>
    <x v="2"/>
    <x v="1"/>
    <n v="141"/>
    <n v="72"/>
    <n v="221"/>
    <n v="434"/>
    <x v="1"/>
  </r>
  <r>
    <s v="NEET2026100769"/>
    <x v="1"/>
    <x v="92"/>
    <x v="5"/>
    <x v="11"/>
    <x v="0"/>
    <x v="4"/>
    <x v="2"/>
    <n v="88"/>
    <n v="76"/>
    <n v="78"/>
    <n v="242"/>
    <x v="2"/>
  </r>
  <r>
    <s v="NEET2025100770"/>
    <x v="1"/>
    <x v="683"/>
    <x v="5"/>
    <x v="10"/>
    <x v="4"/>
    <x v="4"/>
    <x v="1"/>
    <n v="156"/>
    <n v="40"/>
    <n v="286"/>
    <n v="482"/>
    <x v="0"/>
  </r>
  <r>
    <s v="NEET2023100771"/>
    <x v="0"/>
    <x v="684"/>
    <x v="2"/>
    <x v="5"/>
    <x v="2"/>
    <x v="1"/>
    <x v="3"/>
    <n v="67"/>
    <n v="61"/>
    <n v="238"/>
    <n v="366"/>
    <x v="1"/>
  </r>
  <r>
    <s v="NEET2024100772"/>
    <x v="0"/>
    <x v="301"/>
    <x v="2"/>
    <x v="8"/>
    <x v="0"/>
    <x v="4"/>
    <x v="2"/>
    <n v="99"/>
    <n v="174"/>
    <n v="359"/>
    <n v="632"/>
    <x v="0"/>
  </r>
  <r>
    <s v="NEET2023100773"/>
    <x v="1"/>
    <x v="685"/>
    <x v="4"/>
    <x v="13"/>
    <x v="5"/>
    <x v="4"/>
    <x v="0"/>
    <n v="157"/>
    <n v="54"/>
    <n v="228"/>
    <n v="439"/>
    <x v="3"/>
  </r>
  <r>
    <s v="NEET2023100774"/>
    <x v="0"/>
    <x v="1"/>
    <x v="1"/>
    <x v="10"/>
    <x v="4"/>
    <x v="4"/>
    <x v="1"/>
    <n v="57"/>
    <n v="112"/>
    <n v="138"/>
    <n v="307"/>
    <x v="2"/>
  </r>
  <r>
    <s v="NEET2026100775"/>
    <x v="1"/>
    <x v="686"/>
    <x v="0"/>
    <x v="3"/>
    <x v="0"/>
    <x v="1"/>
    <x v="2"/>
    <n v="31"/>
    <n v="114"/>
    <n v="82"/>
    <n v="227"/>
    <x v="0"/>
  </r>
  <r>
    <s v="NEET2023100776"/>
    <x v="1"/>
    <x v="687"/>
    <x v="9"/>
    <x v="2"/>
    <x v="1"/>
    <x v="4"/>
    <x v="0"/>
    <n v="102"/>
    <n v="112"/>
    <n v="88"/>
    <n v="302"/>
    <x v="3"/>
  </r>
  <r>
    <s v="NEET2024100777"/>
    <x v="0"/>
    <x v="602"/>
    <x v="4"/>
    <x v="12"/>
    <x v="0"/>
    <x v="4"/>
    <x v="1"/>
    <n v="132"/>
    <n v="52"/>
    <n v="70"/>
    <n v="254"/>
    <x v="3"/>
  </r>
  <r>
    <s v="NEET2026100778"/>
    <x v="1"/>
    <x v="688"/>
    <x v="0"/>
    <x v="13"/>
    <x v="5"/>
    <x v="0"/>
    <x v="3"/>
    <n v="69"/>
    <n v="60"/>
    <n v="212"/>
    <n v="341"/>
    <x v="1"/>
  </r>
  <r>
    <s v="NEET2024100779"/>
    <x v="1"/>
    <x v="689"/>
    <x v="6"/>
    <x v="2"/>
    <x v="1"/>
    <x v="4"/>
    <x v="1"/>
    <n v="54"/>
    <n v="124"/>
    <n v="322"/>
    <n v="500"/>
    <x v="2"/>
  </r>
  <r>
    <s v="NEET2025100780"/>
    <x v="0"/>
    <x v="690"/>
    <x v="3"/>
    <x v="4"/>
    <x v="0"/>
    <x v="4"/>
    <x v="1"/>
    <n v="138"/>
    <n v="53"/>
    <n v="276"/>
    <n v="467"/>
    <x v="0"/>
  </r>
  <r>
    <s v="NEET2024100781"/>
    <x v="1"/>
    <x v="691"/>
    <x v="7"/>
    <x v="8"/>
    <x v="0"/>
    <x v="3"/>
    <x v="0"/>
    <n v="117"/>
    <n v="148"/>
    <n v="174"/>
    <n v="439"/>
    <x v="2"/>
  </r>
  <r>
    <s v="NEET2024100782"/>
    <x v="1"/>
    <x v="692"/>
    <x v="8"/>
    <x v="0"/>
    <x v="0"/>
    <x v="0"/>
    <x v="2"/>
    <n v="152"/>
    <n v="106"/>
    <n v="136"/>
    <n v="394"/>
    <x v="2"/>
  </r>
  <r>
    <s v="NEET2023100783"/>
    <x v="0"/>
    <x v="693"/>
    <x v="3"/>
    <x v="4"/>
    <x v="0"/>
    <x v="4"/>
    <x v="1"/>
    <n v="42"/>
    <n v="171"/>
    <n v="99"/>
    <n v="312"/>
    <x v="0"/>
  </r>
  <r>
    <s v="NEET2025100784"/>
    <x v="0"/>
    <x v="694"/>
    <x v="8"/>
    <x v="2"/>
    <x v="1"/>
    <x v="2"/>
    <x v="0"/>
    <n v="175"/>
    <n v="94"/>
    <n v="241"/>
    <n v="510"/>
    <x v="2"/>
  </r>
  <r>
    <s v="NEET2023100785"/>
    <x v="1"/>
    <x v="695"/>
    <x v="4"/>
    <x v="13"/>
    <x v="5"/>
    <x v="3"/>
    <x v="3"/>
    <n v="76"/>
    <n v="130"/>
    <n v="83"/>
    <n v="289"/>
    <x v="2"/>
  </r>
  <r>
    <s v="NEET2024100786"/>
    <x v="0"/>
    <x v="592"/>
    <x v="2"/>
    <x v="2"/>
    <x v="1"/>
    <x v="2"/>
    <x v="2"/>
    <n v="145"/>
    <n v="97"/>
    <n v="234"/>
    <n v="476"/>
    <x v="3"/>
  </r>
  <r>
    <s v="NEET2023100787"/>
    <x v="1"/>
    <x v="696"/>
    <x v="0"/>
    <x v="0"/>
    <x v="0"/>
    <x v="2"/>
    <x v="0"/>
    <n v="141"/>
    <n v="166"/>
    <n v="69"/>
    <n v="376"/>
    <x v="1"/>
  </r>
  <r>
    <s v="NEET2025100788"/>
    <x v="1"/>
    <x v="697"/>
    <x v="0"/>
    <x v="14"/>
    <x v="0"/>
    <x v="3"/>
    <x v="1"/>
    <n v="147"/>
    <n v="133"/>
    <n v="309"/>
    <n v="589"/>
    <x v="0"/>
  </r>
  <r>
    <s v="NEET2023100789"/>
    <x v="0"/>
    <x v="181"/>
    <x v="5"/>
    <x v="7"/>
    <x v="0"/>
    <x v="1"/>
    <x v="0"/>
    <n v="33"/>
    <n v="78"/>
    <n v="117"/>
    <n v="228"/>
    <x v="2"/>
  </r>
  <r>
    <s v="NEET2024100790"/>
    <x v="0"/>
    <x v="698"/>
    <x v="0"/>
    <x v="7"/>
    <x v="0"/>
    <x v="4"/>
    <x v="3"/>
    <n v="91"/>
    <n v="141"/>
    <n v="335"/>
    <n v="567"/>
    <x v="1"/>
  </r>
  <r>
    <s v="NEET2024100791"/>
    <x v="1"/>
    <x v="699"/>
    <x v="8"/>
    <x v="1"/>
    <x v="0"/>
    <x v="4"/>
    <x v="1"/>
    <n v="35"/>
    <n v="59"/>
    <n v="145"/>
    <n v="239"/>
    <x v="0"/>
  </r>
  <r>
    <s v="NEET2026100792"/>
    <x v="0"/>
    <x v="313"/>
    <x v="8"/>
    <x v="4"/>
    <x v="0"/>
    <x v="2"/>
    <x v="3"/>
    <n v="92"/>
    <n v="81"/>
    <n v="210"/>
    <n v="383"/>
    <x v="0"/>
  </r>
  <r>
    <s v="NEET2025100793"/>
    <x v="0"/>
    <x v="700"/>
    <x v="0"/>
    <x v="5"/>
    <x v="2"/>
    <x v="4"/>
    <x v="1"/>
    <n v="140"/>
    <n v="136"/>
    <n v="313"/>
    <n v="589"/>
    <x v="2"/>
  </r>
  <r>
    <s v="NEET2023100794"/>
    <x v="1"/>
    <x v="701"/>
    <x v="8"/>
    <x v="4"/>
    <x v="0"/>
    <x v="0"/>
    <x v="3"/>
    <n v="154"/>
    <n v="89"/>
    <n v="91"/>
    <n v="334"/>
    <x v="0"/>
  </r>
  <r>
    <s v="NEET2026100795"/>
    <x v="1"/>
    <x v="702"/>
    <x v="3"/>
    <x v="10"/>
    <x v="4"/>
    <x v="4"/>
    <x v="1"/>
    <n v="136"/>
    <n v="151"/>
    <n v="119"/>
    <n v="406"/>
    <x v="0"/>
  </r>
  <r>
    <s v="NEET2026100796"/>
    <x v="0"/>
    <x v="703"/>
    <x v="5"/>
    <x v="3"/>
    <x v="0"/>
    <x v="0"/>
    <x v="2"/>
    <n v="79"/>
    <n v="150"/>
    <n v="236"/>
    <n v="465"/>
    <x v="3"/>
  </r>
  <r>
    <s v="NEET2026100797"/>
    <x v="1"/>
    <x v="704"/>
    <x v="1"/>
    <x v="5"/>
    <x v="2"/>
    <x v="4"/>
    <x v="3"/>
    <n v="149"/>
    <n v="63"/>
    <n v="210"/>
    <n v="422"/>
    <x v="1"/>
  </r>
  <r>
    <s v="NEET2024100798"/>
    <x v="0"/>
    <x v="705"/>
    <x v="0"/>
    <x v="12"/>
    <x v="0"/>
    <x v="1"/>
    <x v="2"/>
    <n v="102"/>
    <n v="52"/>
    <n v="307"/>
    <n v="461"/>
    <x v="2"/>
  </r>
  <r>
    <s v="NEET2024100799"/>
    <x v="0"/>
    <x v="706"/>
    <x v="5"/>
    <x v="13"/>
    <x v="5"/>
    <x v="2"/>
    <x v="0"/>
    <n v="136"/>
    <n v="156"/>
    <n v="215"/>
    <n v="507"/>
    <x v="3"/>
  </r>
  <r>
    <s v="NEET2023100800"/>
    <x v="0"/>
    <x v="29"/>
    <x v="3"/>
    <x v="9"/>
    <x v="0"/>
    <x v="4"/>
    <x v="3"/>
    <n v="70"/>
    <n v="74"/>
    <n v="317"/>
    <n v="461"/>
    <x v="0"/>
  </r>
  <r>
    <s v="NEET2026100801"/>
    <x v="1"/>
    <x v="97"/>
    <x v="0"/>
    <x v="12"/>
    <x v="0"/>
    <x v="3"/>
    <x v="3"/>
    <n v="60"/>
    <n v="173"/>
    <n v="174"/>
    <n v="407"/>
    <x v="0"/>
  </r>
  <r>
    <s v="NEET2023100802"/>
    <x v="0"/>
    <x v="707"/>
    <x v="2"/>
    <x v="10"/>
    <x v="4"/>
    <x v="4"/>
    <x v="1"/>
    <n v="172"/>
    <n v="98"/>
    <n v="137"/>
    <n v="407"/>
    <x v="0"/>
  </r>
  <r>
    <s v="NEET2023100803"/>
    <x v="0"/>
    <x v="708"/>
    <x v="5"/>
    <x v="13"/>
    <x v="5"/>
    <x v="1"/>
    <x v="0"/>
    <n v="56"/>
    <n v="173"/>
    <n v="81"/>
    <n v="310"/>
    <x v="3"/>
  </r>
  <r>
    <s v="NEET2026100804"/>
    <x v="0"/>
    <x v="335"/>
    <x v="5"/>
    <x v="6"/>
    <x v="3"/>
    <x v="3"/>
    <x v="2"/>
    <n v="104"/>
    <n v="143"/>
    <n v="319"/>
    <n v="566"/>
    <x v="3"/>
  </r>
  <r>
    <s v="NEET2023100805"/>
    <x v="0"/>
    <x v="709"/>
    <x v="5"/>
    <x v="0"/>
    <x v="0"/>
    <x v="3"/>
    <x v="1"/>
    <n v="81"/>
    <n v="142"/>
    <n v="272"/>
    <n v="495"/>
    <x v="3"/>
  </r>
  <r>
    <s v="NEET2026100806"/>
    <x v="1"/>
    <x v="710"/>
    <x v="8"/>
    <x v="7"/>
    <x v="0"/>
    <x v="1"/>
    <x v="2"/>
    <n v="51"/>
    <n v="98"/>
    <n v="250"/>
    <n v="399"/>
    <x v="2"/>
  </r>
  <r>
    <s v="NEET2026100807"/>
    <x v="1"/>
    <x v="711"/>
    <x v="2"/>
    <x v="12"/>
    <x v="0"/>
    <x v="2"/>
    <x v="3"/>
    <n v="65"/>
    <n v="139"/>
    <n v="271"/>
    <n v="475"/>
    <x v="2"/>
  </r>
  <r>
    <s v="NEET2023100808"/>
    <x v="1"/>
    <x v="517"/>
    <x v="5"/>
    <x v="13"/>
    <x v="5"/>
    <x v="4"/>
    <x v="3"/>
    <n v="32"/>
    <n v="162"/>
    <n v="95"/>
    <n v="289"/>
    <x v="1"/>
  </r>
  <r>
    <s v="NEET2023100809"/>
    <x v="1"/>
    <x v="243"/>
    <x v="6"/>
    <x v="11"/>
    <x v="0"/>
    <x v="4"/>
    <x v="1"/>
    <n v="130"/>
    <n v="39"/>
    <n v="137"/>
    <n v="306"/>
    <x v="3"/>
  </r>
  <r>
    <s v="NEET2025100810"/>
    <x v="0"/>
    <x v="712"/>
    <x v="2"/>
    <x v="6"/>
    <x v="3"/>
    <x v="4"/>
    <x v="1"/>
    <n v="110"/>
    <n v="118"/>
    <n v="64"/>
    <n v="292"/>
    <x v="1"/>
  </r>
  <r>
    <s v="NEET2024100811"/>
    <x v="1"/>
    <x v="713"/>
    <x v="1"/>
    <x v="4"/>
    <x v="0"/>
    <x v="2"/>
    <x v="0"/>
    <n v="143"/>
    <n v="118"/>
    <n v="267"/>
    <n v="528"/>
    <x v="3"/>
  </r>
  <r>
    <s v="NEET2025100812"/>
    <x v="0"/>
    <x v="559"/>
    <x v="6"/>
    <x v="6"/>
    <x v="3"/>
    <x v="0"/>
    <x v="0"/>
    <n v="62"/>
    <n v="163"/>
    <n v="336"/>
    <n v="561"/>
    <x v="3"/>
  </r>
  <r>
    <s v="NEET2025100813"/>
    <x v="0"/>
    <x v="714"/>
    <x v="8"/>
    <x v="9"/>
    <x v="0"/>
    <x v="4"/>
    <x v="3"/>
    <n v="70"/>
    <n v="35"/>
    <n v="74"/>
    <n v="179"/>
    <x v="0"/>
  </r>
  <r>
    <s v="NEET2025100814"/>
    <x v="0"/>
    <x v="715"/>
    <x v="2"/>
    <x v="11"/>
    <x v="0"/>
    <x v="2"/>
    <x v="0"/>
    <n v="125"/>
    <n v="96"/>
    <n v="319"/>
    <n v="540"/>
    <x v="2"/>
  </r>
  <r>
    <s v="NEET2024100815"/>
    <x v="0"/>
    <x v="716"/>
    <x v="3"/>
    <x v="4"/>
    <x v="0"/>
    <x v="3"/>
    <x v="3"/>
    <n v="31"/>
    <n v="146"/>
    <n v="233"/>
    <n v="410"/>
    <x v="3"/>
  </r>
  <r>
    <s v="NEET2024100816"/>
    <x v="0"/>
    <x v="717"/>
    <x v="0"/>
    <x v="13"/>
    <x v="5"/>
    <x v="0"/>
    <x v="3"/>
    <n v="176"/>
    <n v="65"/>
    <n v="253"/>
    <n v="494"/>
    <x v="1"/>
  </r>
  <r>
    <s v="NEET2026100817"/>
    <x v="1"/>
    <x v="718"/>
    <x v="2"/>
    <x v="9"/>
    <x v="0"/>
    <x v="2"/>
    <x v="0"/>
    <n v="146"/>
    <n v="55"/>
    <n v="135"/>
    <n v="336"/>
    <x v="0"/>
  </r>
  <r>
    <s v="NEET2026100818"/>
    <x v="0"/>
    <x v="719"/>
    <x v="6"/>
    <x v="10"/>
    <x v="4"/>
    <x v="0"/>
    <x v="3"/>
    <n v="63"/>
    <n v="151"/>
    <n v="169"/>
    <n v="383"/>
    <x v="2"/>
  </r>
  <r>
    <s v="NEET2026100819"/>
    <x v="1"/>
    <x v="720"/>
    <x v="1"/>
    <x v="8"/>
    <x v="0"/>
    <x v="4"/>
    <x v="1"/>
    <n v="162"/>
    <n v="131"/>
    <n v="195"/>
    <n v="488"/>
    <x v="2"/>
  </r>
  <r>
    <s v="NEET2026100820"/>
    <x v="0"/>
    <x v="721"/>
    <x v="5"/>
    <x v="7"/>
    <x v="0"/>
    <x v="1"/>
    <x v="0"/>
    <n v="159"/>
    <n v="62"/>
    <n v="308"/>
    <n v="529"/>
    <x v="2"/>
  </r>
  <r>
    <s v="NEET2023100821"/>
    <x v="1"/>
    <x v="722"/>
    <x v="8"/>
    <x v="11"/>
    <x v="0"/>
    <x v="2"/>
    <x v="0"/>
    <n v="70"/>
    <n v="173"/>
    <n v="249"/>
    <n v="492"/>
    <x v="3"/>
  </r>
  <r>
    <s v="NEET2023100822"/>
    <x v="1"/>
    <x v="723"/>
    <x v="1"/>
    <x v="3"/>
    <x v="0"/>
    <x v="3"/>
    <x v="3"/>
    <n v="40"/>
    <n v="163"/>
    <n v="138"/>
    <n v="341"/>
    <x v="3"/>
  </r>
  <r>
    <s v="NEET2026100823"/>
    <x v="0"/>
    <x v="724"/>
    <x v="3"/>
    <x v="14"/>
    <x v="0"/>
    <x v="3"/>
    <x v="3"/>
    <n v="37"/>
    <n v="66"/>
    <n v="132"/>
    <n v="235"/>
    <x v="1"/>
  </r>
  <r>
    <s v="NEET2025100824"/>
    <x v="0"/>
    <x v="725"/>
    <x v="4"/>
    <x v="5"/>
    <x v="2"/>
    <x v="4"/>
    <x v="0"/>
    <n v="155"/>
    <n v="30"/>
    <n v="122"/>
    <n v="307"/>
    <x v="2"/>
  </r>
  <r>
    <s v="NEET2026100825"/>
    <x v="1"/>
    <x v="726"/>
    <x v="1"/>
    <x v="3"/>
    <x v="0"/>
    <x v="1"/>
    <x v="2"/>
    <n v="174"/>
    <n v="145"/>
    <n v="232"/>
    <n v="551"/>
    <x v="2"/>
  </r>
  <r>
    <s v="NEET2023100826"/>
    <x v="1"/>
    <x v="727"/>
    <x v="2"/>
    <x v="14"/>
    <x v="0"/>
    <x v="1"/>
    <x v="1"/>
    <n v="144"/>
    <n v="68"/>
    <n v="226"/>
    <n v="438"/>
    <x v="2"/>
  </r>
  <r>
    <s v="NEET2023100827"/>
    <x v="0"/>
    <x v="167"/>
    <x v="3"/>
    <x v="8"/>
    <x v="0"/>
    <x v="0"/>
    <x v="0"/>
    <n v="41"/>
    <n v="143"/>
    <n v="202"/>
    <n v="386"/>
    <x v="3"/>
  </r>
  <r>
    <s v="NEET2024100828"/>
    <x v="0"/>
    <x v="505"/>
    <x v="1"/>
    <x v="2"/>
    <x v="1"/>
    <x v="4"/>
    <x v="2"/>
    <n v="61"/>
    <n v="173"/>
    <n v="103"/>
    <n v="337"/>
    <x v="0"/>
  </r>
  <r>
    <s v="NEET2025100829"/>
    <x v="0"/>
    <x v="728"/>
    <x v="5"/>
    <x v="2"/>
    <x v="1"/>
    <x v="0"/>
    <x v="2"/>
    <n v="166"/>
    <n v="76"/>
    <n v="69"/>
    <n v="311"/>
    <x v="2"/>
  </r>
  <r>
    <s v="NEET2023100830"/>
    <x v="1"/>
    <x v="565"/>
    <x v="5"/>
    <x v="13"/>
    <x v="5"/>
    <x v="3"/>
    <x v="0"/>
    <n v="166"/>
    <n v="112"/>
    <n v="265"/>
    <n v="543"/>
    <x v="2"/>
  </r>
  <r>
    <s v="NEET2026100831"/>
    <x v="1"/>
    <x v="729"/>
    <x v="4"/>
    <x v="1"/>
    <x v="0"/>
    <x v="2"/>
    <x v="0"/>
    <n v="36"/>
    <n v="165"/>
    <n v="222"/>
    <n v="423"/>
    <x v="0"/>
  </r>
  <r>
    <s v="NEET2025100832"/>
    <x v="0"/>
    <x v="730"/>
    <x v="1"/>
    <x v="7"/>
    <x v="0"/>
    <x v="3"/>
    <x v="2"/>
    <n v="103"/>
    <n v="66"/>
    <n v="153"/>
    <n v="322"/>
    <x v="2"/>
  </r>
  <r>
    <s v="NEET2023100833"/>
    <x v="0"/>
    <x v="731"/>
    <x v="0"/>
    <x v="7"/>
    <x v="0"/>
    <x v="4"/>
    <x v="3"/>
    <n v="45"/>
    <n v="113"/>
    <n v="152"/>
    <n v="310"/>
    <x v="0"/>
  </r>
  <r>
    <s v="NEET2026100834"/>
    <x v="0"/>
    <x v="732"/>
    <x v="3"/>
    <x v="7"/>
    <x v="0"/>
    <x v="1"/>
    <x v="0"/>
    <n v="135"/>
    <n v="112"/>
    <n v="192"/>
    <n v="439"/>
    <x v="1"/>
  </r>
  <r>
    <s v="NEET2026100835"/>
    <x v="0"/>
    <x v="733"/>
    <x v="2"/>
    <x v="4"/>
    <x v="0"/>
    <x v="2"/>
    <x v="3"/>
    <n v="180"/>
    <n v="90"/>
    <n v="312"/>
    <n v="582"/>
    <x v="3"/>
  </r>
  <r>
    <s v="NEET2023100836"/>
    <x v="1"/>
    <x v="694"/>
    <x v="8"/>
    <x v="8"/>
    <x v="0"/>
    <x v="2"/>
    <x v="2"/>
    <n v="134"/>
    <n v="46"/>
    <n v="307"/>
    <n v="487"/>
    <x v="3"/>
  </r>
  <r>
    <s v="NEET2024100837"/>
    <x v="1"/>
    <x v="734"/>
    <x v="1"/>
    <x v="4"/>
    <x v="0"/>
    <x v="4"/>
    <x v="1"/>
    <n v="55"/>
    <n v="93"/>
    <n v="344"/>
    <n v="492"/>
    <x v="0"/>
  </r>
  <r>
    <s v="NEET2024100838"/>
    <x v="0"/>
    <x v="735"/>
    <x v="0"/>
    <x v="8"/>
    <x v="0"/>
    <x v="0"/>
    <x v="1"/>
    <n v="82"/>
    <n v="66"/>
    <n v="251"/>
    <n v="399"/>
    <x v="2"/>
  </r>
  <r>
    <s v="NEET2023100839"/>
    <x v="0"/>
    <x v="736"/>
    <x v="7"/>
    <x v="11"/>
    <x v="0"/>
    <x v="3"/>
    <x v="1"/>
    <n v="148"/>
    <n v="104"/>
    <n v="145"/>
    <n v="397"/>
    <x v="3"/>
  </r>
  <r>
    <s v="NEET2025100840"/>
    <x v="0"/>
    <x v="737"/>
    <x v="0"/>
    <x v="1"/>
    <x v="0"/>
    <x v="0"/>
    <x v="2"/>
    <n v="119"/>
    <n v="84"/>
    <n v="359"/>
    <n v="562"/>
    <x v="0"/>
  </r>
  <r>
    <s v="NEET2025100841"/>
    <x v="1"/>
    <x v="228"/>
    <x v="3"/>
    <x v="0"/>
    <x v="0"/>
    <x v="0"/>
    <x v="2"/>
    <n v="131"/>
    <n v="61"/>
    <n v="131"/>
    <n v="323"/>
    <x v="3"/>
  </r>
  <r>
    <s v="NEET2024100842"/>
    <x v="1"/>
    <x v="738"/>
    <x v="0"/>
    <x v="9"/>
    <x v="0"/>
    <x v="1"/>
    <x v="3"/>
    <n v="96"/>
    <n v="145"/>
    <n v="199"/>
    <n v="440"/>
    <x v="2"/>
  </r>
  <r>
    <s v="NEET2026100843"/>
    <x v="0"/>
    <x v="579"/>
    <x v="1"/>
    <x v="9"/>
    <x v="0"/>
    <x v="1"/>
    <x v="0"/>
    <n v="34"/>
    <n v="64"/>
    <n v="61"/>
    <n v="159"/>
    <x v="2"/>
  </r>
  <r>
    <s v="NEET2023100844"/>
    <x v="0"/>
    <x v="739"/>
    <x v="1"/>
    <x v="10"/>
    <x v="4"/>
    <x v="4"/>
    <x v="0"/>
    <n v="155"/>
    <n v="130"/>
    <n v="335"/>
    <n v="620"/>
    <x v="0"/>
  </r>
  <r>
    <s v="NEET2024100845"/>
    <x v="0"/>
    <x v="740"/>
    <x v="6"/>
    <x v="5"/>
    <x v="2"/>
    <x v="4"/>
    <x v="0"/>
    <n v="126"/>
    <n v="121"/>
    <n v="258"/>
    <n v="505"/>
    <x v="3"/>
  </r>
  <r>
    <s v="NEET2025100846"/>
    <x v="1"/>
    <x v="741"/>
    <x v="4"/>
    <x v="14"/>
    <x v="0"/>
    <x v="2"/>
    <x v="2"/>
    <n v="32"/>
    <n v="86"/>
    <n v="70"/>
    <n v="188"/>
    <x v="3"/>
  </r>
  <r>
    <s v="NEET2023100847"/>
    <x v="1"/>
    <x v="742"/>
    <x v="2"/>
    <x v="12"/>
    <x v="0"/>
    <x v="0"/>
    <x v="1"/>
    <n v="89"/>
    <n v="156"/>
    <n v="245"/>
    <n v="490"/>
    <x v="1"/>
  </r>
  <r>
    <s v="NEET2026100848"/>
    <x v="0"/>
    <x v="743"/>
    <x v="7"/>
    <x v="12"/>
    <x v="0"/>
    <x v="0"/>
    <x v="2"/>
    <n v="131"/>
    <n v="58"/>
    <n v="202"/>
    <n v="391"/>
    <x v="1"/>
  </r>
  <r>
    <s v="NEET2025100849"/>
    <x v="0"/>
    <x v="744"/>
    <x v="7"/>
    <x v="4"/>
    <x v="0"/>
    <x v="1"/>
    <x v="3"/>
    <n v="62"/>
    <n v="46"/>
    <n v="125"/>
    <n v="233"/>
    <x v="0"/>
  </r>
  <r>
    <s v="NEET2026100850"/>
    <x v="0"/>
    <x v="745"/>
    <x v="0"/>
    <x v="2"/>
    <x v="1"/>
    <x v="2"/>
    <x v="1"/>
    <n v="166"/>
    <n v="94"/>
    <n v="346"/>
    <n v="606"/>
    <x v="3"/>
  </r>
  <r>
    <s v="NEET2026100851"/>
    <x v="1"/>
    <x v="746"/>
    <x v="6"/>
    <x v="5"/>
    <x v="2"/>
    <x v="0"/>
    <x v="3"/>
    <n v="134"/>
    <n v="100"/>
    <n v="122"/>
    <n v="356"/>
    <x v="0"/>
  </r>
  <r>
    <s v="NEET2026100852"/>
    <x v="1"/>
    <x v="197"/>
    <x v="2"/>
    <x v="12"/>
    <x v="0"/>
    <x v="4"/>
    <x v="0"/>
    <n v="42"/>
    <n v="101"/>
    <n v="275"/>
    <n v="418"/>
    <x v="1"/>
  </r>
  <r>
    <s v="NEET2026100853"/>
    <x v="0"/>
    <x v="747"/>
    <x v="3"/>
    <x v="0"/>
    <x v="0"/>
    <x v="1"/>
    <x v="2"/>
    <n v="176"/>
    <n v="36"/>
    <n v="175"/>
    <n v="387"/>
    <x v="1"/>
  </r>
  <r>
    <s v="NEET2026100854"/>
    <x v="1"/>
    <x v="748"/>
    <x v="3"/>
    <x v="3"/>
    <x v="0"/>
    <x v="0"/>
    <x v="0"/>
    <n v="46"/>
    <n v="54"/>
    <n v="74"/>
    <n v="174"/>
    <x v="3"/>
  </r>
  <r>
    <s v="NEET2025100855"/>
    <x v="0"/>
    <x v="749"/>
    <x v="4"/>
    <x v="12"/>
    <x v="0"/>
    <x v="0"/>
    <x v="3"/>
    <n v="57"/>
    <n v="151"/>
    <n v="182"/>
    <n v="390"/>
    <x v="1"/>
  </r>
  <r>
    <s v="NEET2023100856"/>
    <x v="0"/>
    <x v="184"/>
    <x v="7"/>
    <x v="13"/>
    <x v="5"/>
    <x v="2"/>
    <x v="0"/>
    <n v="142"/>
    <n v="54"/>
    <n v="288"/>
    <n v="484"/>
    <x v="2"/>
  </r>
  <r>
    <s v="NEET2026100857"/>
    <x v="0"/>
    <x v="681"/>
    <x v="3"/>
    <x v="10"/>
    <x v="4"/>
    <x v="0"/>
    <x v="3"/>
    <n v="46"/>
    <n v="62"/>
    <n v="91"/>
    <n v="199"/>
    <x v="2"/>
  </r>
  <r>
    <s v="NEET2025100858"/>
    <x v="1"/>
    <x v="178"/>
    <x v="7"/>
    <x v="0"/>
    <x v="0"/>
    <x v="2"/>
    <x v="1"/>
    <n v="44"/>
    <n v="173"/>
    <n v="86"/>
    <n v="303"/>
    <x v="2"/>
  </r>
  <r>
    <s v="NEET2026100859"/>
    <x v="1"/>
    <x v="308"/>
    <x v="4"/>
    <x v="5"/>
    <x v="2"/>
    <x v="3"/>
    <x v="0"/>
    <n v="32"/>
    <n v="146"/>
    <n v="256"/>
    <n v="434"/>
    <x v="0"/>
  </r>
  <r>
    <s v="NEET2023100860"/>
    <x v="0"/>
    <x v="750"/>
    <x v="8"/>
    <x v="8"/>
    <x v="0"/>
    <x v="0"/>
    <x v="0"/>
    <n v="114"/>
    <n v="180"/>
    <n v="158"/>
    <n v="452"/>
    <x v="0"/>
  </r>
  <r>
    <s v="NEET2025100861"/>
    <x v="1"/>
    <x v="751"/>
    <x v="1"/>
    <x v="13"/>
    <x v="5"/>
    <x v="4"/>
    <x v="1"/>
    <n v="79"/>
    <n v="176"/>
    <n v="124"/>
    <n v="379"/>
    <x v="2"/>
  </r>
  <r>
    <s v="NEET2024100862"/>
    <x v="1"/>
    <x v="752"/>
    <x v="4"/>
    <x v="12"/>
    <x v="0"/>
    <x v="0"/>
    <x v="1"/>
    <n v="65"/>
    <n v="41"/>
    <n v="90"/>
    <n v="196"/>
    <x v="3"/>
  </r>
  <r>
    <s v="NEET2026100863"/>
    <x v="1"/>
    <x v="753"/>
    <x v="3"/>
    <x v="4"/>
    <x v="0"/>
    <x v="3"/>
    <x v="3"/>
    <n v="168"/>
    <n v="67"/>
    <n v="135"/>
    <n v="370"/>
    <x v="3"/>
  </r>
  <r>
    <s v="NEET2024100864"/>
    <x v="0"/>
    <x v="754"/>
    <x v="7"/>
    <x v="8"/>
    <x v="0"/>
    <x v="3"/>
    <x v="1"/>
    <n v="180"/>
    <n v="67"/>
    <n v="89"/>
    <n v="336"/>
    <x v="1"/>
  </r>
  <r>
    <s v="NEET2024100865"/>
    <x v="1"/>
    <x v="755"/>
    <x v="4"/>
    <x v="2"/>
    <x v="1"/>
    <x v="0"/>
    <x v="1"/>
    <n v="81"/>
    <n v="47"/>
    <n v="234"/>
    <n v="362"/>
    <x v="3"/>
  </r>
  <r>
    <s v="NEET2025100866"/>
    <x v="0"/>
    <x v="756"/>
    <x v="1"/>
    <x v="4"/>
    <x v="0"/>
    <x v="4"/>
    <x v="0"/>
    <n v="115"/>
    <n v="106"/>
    <n v="274"/>
    <n v="495"/>
    <x v="0"/>
  </r>
  <r>
    <s v="NEET2026100867"/>
    <x v="0"/>
    <x v="757"/>
    <x v="8"/>
    <x v="12"/>
    <x v="0"/>
    <x v="4"/>
    <x v="2"/>
    <n v="30"/>
    <n v="87"/>
    <n v="177"/>
    <n v="294"/>
    <x v="3"/>
  </r>
  <r>
    <s v="NEET2023100868"/>
    <x v="1"/>
    <x v="758"/>
    <x v="2"/>
    <x v="1"/>
    <x v="0"/>
    <x v="2"/>
    <x v="0"/>
    <n v="82"/>
    <n v="132"/>
    <n v="154"/>
    <n v="368"/>
    <x v="3"/>
  </r>
  <r>
    <s v="NEET2026100869"/>
    <x v="0"/>
    <x v="759"/>
    <x v="7"/>
    <x v="8"/>
    <x v="0"/>
    <x v="2"/>
    <x v="3"/>
    <n v="59"/>
    <n v="66"/>
    <n v="208"/>
    <n v="333"/>
    <x v="0"/>
  </r>
  <r>
    <s v="NEET2025100870"/>
    <x v="0"/>
    <x v="760"/>
    <x v="4"/>
    <x v="12"/>
    <x v="0"/>
    <x v="0"/>
    <x v="3"/>
    <n v="102"/>
    <n v="74"/>
    <n v="172"/>
    <n v="348"/>
    <x v="1"/>
  </r>
  <r>
    <s v="NEET2023100871"/>
    <x v="0"/>
    <x v="42"/>
    <x v="4"/>
    <x v="12"/>
    <x v="0"/>
    <x v="4"/>
    <x v="2"/>
    <n v="35"/>
    <n v="75"/>
    <n v="194"/>
    <n v="304"/>
    <x v="0"/>
  </r>
  <r>
    <s v="NEET2024100872"/>
    <x v="1"/>
    <x v="96"/>
    <x v="3"/>
    <x v="10"/>
    <x v="4"/>
    <x v="1"/>
    <x v="3"/>
    <n v="83"/>
    <n v="108"/>
    <n v="293"/>
    <n v="484"/>
    <x v="2"/>
  </r>
  <r>
    <s v="NEET2024100873"/>
    <x v="0"/>
    <x v="761"/>
    <x v="2"/>
    <x v="0"/>
    <x v="0"/>
    <x v="3"/>
    <x v="1"/>
    <n v="60"/>
    <n v="66"/>
    <n v="126"/>
    <n v="252"/>
    <x v="3"/>
  </r>
  <r>
    <s v="NEET2024100874"/>
    <x v="1"/>
    <x v="579"/>
    <x v="1"/>
    <x v="1"/>
    <x v="0"/>
    <x v="3"/>
    <x v="2"/>
    <n v="92"/>
    <n v="41"/>
    <n v="360"/>
    <n v="493"/>
    <x v="1"/>
  </r>
  <r>
    <s v="NEET2026100875"/>
    <x v="0"/>
    <x v="762"/>
    <x v="7"/>
    <x v="2"/>
    <x v="1"/>
    <x v="4"/>
    <x v="0"/>
    <n v="101"/>
    <n v="62"/>
    <n v="320"/>
    <n v="483"/>
    <x v="0"/>
  </r>
  <r>
    <s v="NEET2026100876"/>
    <x v="1"/>
    <x v="763"/>
    <x v="5"/>
    <x v="8"/>
    <x v="0"/>
    <x v="3"/>
    <x v="2"/>
    <n v="129"/>
    <n v="160"/>
    <n v="251"/>
    <n v="540"/>
    <x v="3"/>
  </r>
  <r>
    <s v="NEET2025100877"/>
    <x v="1"/>
    <x v="764"/>
    <x v="1"/>
    <x v="6"/>
    <x v="3"/>
    <x v="1"/>
    <x v="0"/>
    <n v="153"/>
    <n v="156"/>
    <n v="302"/>
    <n v="611"/>
    <x v="1"/>
  </r>
  <r>
    <s v="NEET2025100878"/>
    <x v="1"/>
    <x v="765"/>
    <x v="4"/>
    <x v="14"/>
    <x v="0"/>
    <x v="0"/>
    <x v="1"/>
    <n v="90"/>
    <n v="131"/>
    <n v="171"/>
    <n v="392"/>
    <x v="1"/>
  </r>
  <r>
    <s v="NEET2023100879"/>
    <x v="1"/>
    <x v="766"/>
    <x v="6"/>
    <x v="3"/>
    <x v="0"/>
    <x v="0"/>
    <x v="1"/>
    <n v="170"/>
    <n v="51"/>
    <n v="128"/>
    <n v="349"/>
    <x v="3"/>
  </r>
  <r>
    <s v="NEET2025100880"/>
    <x v="1"/>
    <x v="235"/>
    <x v="4"/>
    <x v="4"/>
    <x v="0"/>
    <x v="4"/>
    <x v="1"/>
    <n v="40"/>
    <n v="149"/>
    <n v="322"/>
    <n v="511"/>
    <x v="2"/>
  </r>
  <r>
    <s v="NEET2026100881"/>
    <x v="0"/>
    <x v="767"/>
    <x v="6"/>
    <x v="9"/>
    <x v="0"/>
    <x v="4"/>
    <x v="2"/>
    <n v="157"/>
    <n v="111"/>
    <n v="199"/>
    <n v="467"/>
    <x v="1"/>
  </r>
  <r>
    <s v="NEET2025100882"/>
    <x v="0"/>
    <x v="768"/>
    <x v="3"/>
    <x v="2"/>
    <x v="1"/>
    <x v="1"/>
    <x v="3"/>
    <n v="49"/>
    <n v="121"/>
    <n v="102"/>
    <n v="272"/>
    <x v="0"/>
  </r>
  <r>
    <s v="NEET2024100883"/>
    <x v="1"/>
    <x v="77"/>
    <x v="5"/>
    <x v="0"/>
    <x v="0"/>
    <x v="3"/>
    <x v="2"/>
    <n v="122"/>
    <n v="39"/>
    <n v="339"/>
    <n v="500"/>
    <x v="3"/>
  </r>
  <r>
    <s v="NEET2025100884"/>
    <x v="0"/>
    <x v="679"/>
    <x v="3"/>
    <x v="6"/>
    <x v="3"/>
    <x v="3"/>
    <x v="3"/>
    <n v="100"/>
    <n v="78"/>
    <n v="130"/>
    <n v="308"/>
    <x v="3"/>
  </r>
  <r>
    <s v="NEET2026100885"/>
    <x v="0"/>
    <x v="769"/>
    <x v="2"/>
    <x v="1"/>
    <x v="0"/>
    <x v="1"/>
    <x v="1"/>
    <n v="133"/>
    <n v="178"/>
    <n v="66"/>
    <n v="377"/>
    <x v="1"/>
  </r>
  <r>
    <s v="NEET2026100886"/>
    <x v="1"/>
    <x v="20"/>
    <x v="2"/>
    <x v="6"/>
    <x v="3"/>
    <x v="2"/>
    <x v="3"/>
    <n v="83"/>
    <n v="151"/>
    <n v="179"/>
    <n v="413"/>
    <x v="3"/>
  </r>
  <r>
    <s v="NEET2026100887"/>
    <x v="0"/>
    <x v="770"/>
    <x v="4"/>
    <x v="1"/>
    <x v="0"/>
    <x v="1"/>
    <x v="3"/>
    <n v="136"/>
    <n v="83"/>
    <n v="284"/>
    <n v="503"/>
    <x v="1"/>
  </r>
  <r>
    <s v="NEET2025100888"/>
    <x v="0"/>
    <x v="771"/>
    <x v="3"/>
    <x v="6"/>
    <x v="3"/>
    <x v="4"/>
    <x v="1"/>
    <n v="32"/>
    <n v="157"/>
    <n v="241"/>
    <n v="430"/>
    <x v="2"/>
  </r>
  <r>
    <s v="NEET2023100889"/>
    <x v="0"/>
    <x v="772"/>
    <x v="2"/>
    <x v="13"/>
    <x v="5"/>
    <x v="1"/>
    <x v="2"/>
    <n v="167"/>
    <n v="106"/>
    <n v="226"/>
    <n v="499"/>
    <x v="3"/>
  </r>
  <r>
    <s v="NEET2024100890"/>
    <x v="1"/>
    <x v="773"/>
    <x v="1"/>
    <x v="2"/>
    <x v="1"/>
    <x v="0"/>
    <x v="0"/>
    <n v="176"/>
    <n v="130"/>
    <n v="255"/>
    <n v="561"/>
    <x v="2"/>
  </r>
  <r>
    <s v="NEET2026100891"/>
    <x v="1"/>
    <x v="774"/>
    <x v="4"/>
    <x v="14"/>
    <x v="0"/>
    <x v="1"/>
    <x v="0"/>
    <n v="57"/>
    <n v="114"/>
    <n v="351"/>
    <n v="522"/>
    <x v="0"/>
  </r>
  <r>
    <s v="NEET2023100892"/>
    <x v="0"/>
    <x v="775"/>
    <x v="0"/>
    <x v="8"/>
    <x v="0"/>
    <x v="2"/>
    <x v="2"/>
    <n v="75"/>
    <n v="38"/>
    <n v="310"/>
    <n v="423"/>
    <x v="2"/>
  </r>
  <r>
    <s v="NEET2023100893"/>
    <x v="1"/>
    <x v="776"/>
    <x v="3"/>
    <x v="12"/>
    <x v="0"/>
    <x v="3"/>
    <x v="0"/>
    <n v="89"/>
    <n v="104"/>
    <n v="328"/>
    <n v="521"/>
    <x v="0"/>
  </r>
  <r>
    <s v="NEET2023100894"/>
    <x v="0"/>
    <x v="777"/>
    <x v="4"/>
    <x v="9"/>
    <x v="0"/>
    <x v="4"/>
    <x v="1"/>
    <n v="135"/>
    <n v="130"/>
    <n v="140"/>
    <n v="405"/>
    <x v="0"/>
  </r>
  <r>
    <s v="NEET2025100895"/>
    <x v="1"/>
    <x v="778"/>
    <x v="6"/>
    <x v="10"/>
    <x v="4"/>
    <x v="1"/>
    <x v="1"/>
    <n v="82"/>
    <n v="63"/>
    <n v="165"/>
    <n v="310"/>
    <x v="3"/>
  </r>
  <r>
    <s v="NEET2024100896"/>
    <x v="0"/>
    <x v="779"/>
    <x v="1"/>
    <x v="12"/>
    <x v="0"/>
    <x v="4"/>
    <x v="2"/>
    <n v="158"/>
    <n v="147"/>
    <n v="201"/>
    <n v="506"/>
    <x v="0"/>
  </r>
  <r>
    <s v="NEET2026100897"/>
    <x v="1"/>
    <x v="780"/>
    <x v="6"/>
    <x v="4"/>
    <x v="0"/>
    <x v="0"/>
    <x v="1"/>
    <n v="93"/>
    <n v="164"/>
    <n v="228"/>
    <n v="485"/>
    <x v="0"/>
  </r>
  <r>
    <s v="NEET2025100898"/>
    <x v="1"/>
    <x v="781"/>
    <x v="2"/>
    <x v="0"/>
    <x v="0"/>
    <x v="4"/>
    <x v="2"/>
    <n v="103"/>
    <n v="146"/>
    <n v="237"/>
    <n v="486"/>
    <x v="1"/>
  </r>
  <r>
    <s v="NEET2024100899"/>
    <x v="0"/>
    <x v="695"/>
    <x v="4"/>
    <x v="10"/>
    <x v="4"/>
    <x v="2"/>
    <x v="1"/>
    <n v="140"/>
    <n v="147"/>
    <n v="256"/>
    <n v="543"/>
    <x v="1"/>
  </r>
  <r>
    <s v="NEET2024100900"/>
    <x v="1"/>
    <x v="782"/>
    <x v="5"/>
    <x v="3"/>
    <x v="0"/>
    <x v="0"/>
    <x v="1"/>
    <n v="167"/>
    <n v="104"/>
    <n v="94"/>
    <n v="365"/>
    <x v="0"/>
  </r>
  <r>
    <s v="NEET2026100901"/>
    <x v="1"/>
    <x v="783"/>
    <x v="6"/>
    <x v="0"/>
    <x v="0"/>
    <x v="3"/>
    <x v="2"/>
    <n v="56"/>
    <n v="159"/>
    <n v="226"/>
    <n v="441"/>
    <x v="1"/>
  </r>
  <r>
    <s v="NEET2026100902"/>
    <x v="1"/>
    <x v="64"/>
    <x v="8"/>
    <x v="11"/>
    <x v="0"/>
    <x v="4"/>
    <x v="3"/>
    <n v="148"/>
    <n v="36"/>
    <n v="97"/>
    <n v="281"/>
    <x v="1"/>
  </r>
  <r>
    <s v="NEET2024100903"/>
    <x v="1"/>
    <x v="784"/>
    <x v="6"/>
    <x v="11"/>
    <x v="0"/>
    <x v="4"/>
    <x v="1"/>
    <n v="32"/>
    <n v="94"/>
    <n v="118"/>
    <n v="244"/>
    <x v="2"/>
  </r>
  <r>
    <s v="NEET2024100904"/>
    <x v="1"/>
    <x v="785"/>
    <x v="7"/>
    <x v="0"/>
    <x v="0"/>
    <x v="1"/>
    <x v="3"/>
    <n v="170"/>
    <n v="92"/>
    <n v="284"/>
    <n v="546"/>
    <x v="1"/>
  </r>
  <r>
    <s v="NEET2023100905"/>
    <x v="1"/>
    <x v="786"/>
    <x v="7"/>
    <x v="4"/>
    <x v="0"/>
    <x v="2"/>
    <x v="2"/>
    <n v="55"/>
    <n v="75"/>
    <n v="210"/>
    <n v="340"/>
    <x v="0"/>
  </r>
  <r>
    <s v="NEET2024100906"/>
    <x v="0"/>
    <x v="787"/>
    <x v="0"/>
    <x v="3"/>
    <x v="0"/>
    <x v="0"/>
    <x v="0"/>
    <n v="69"/>
    <n v="142"/>
    <n v="243"/>
    <n v="454"/>
    <x v="1"/>
  </r>
  <r>
    <s v="NEET2026100907"/>
    <x v="1"/>
    <x v="788"/>
    <x v="8"/>
    <x v="6"/>
    <x v="3"/>
    <x v="2"/>
    <x v="1"/>
    <n v="42"/>
    <n v="163"/>
    <n v="112"/>
    <n v="317"/>
    <x v="0"/>
  </r>
  <r>
    <s v="NEET2025100908"/>
    <x v="0"/>
    <x v="789"/>
    <x v="7"/>
    <x v="13"/>
    <x v="5"/>
    <x v="2"/>
    <x v="2"/>
    <n v="126"/>
    <n v="81"/>
    <n v="187"/>
    <n v="394"/>
    <x v="0"/>
  </r>
  <r>
    <s v="NEET2023100909"/>
    <x v="0"/>
    <x v="790"/>
    <x v="6"/>
    <x v="11"/>
    <x v="0"/>
    <x v="1"/>
    <x v="0"/>
    <n v="33"/>
    <n v="116"/>
    <n v="158"/>
    <n v="307"/>
    <x v="1"/>
  </r>
  <r>
    <s v="NEET2025100910"/>
    <x v="0"/>
    <x v="791"/>
    <x v="7"/>
    <x v="1"/>
    <x v="0"/>
    <x v="0"/>
    <x v="2"/>
    <n v="161"/>
    <n v="57"/>
    <n v="227"/>
    <n v="445"/>
    <x v="2"/>
  </r>
  <r>
    <s v="NEET2025100911"/>
    <x v="1"/>
    <x v="792"/>
    <x v="6"/>
    <x v="0"/>
    <x v="0"/>
    <x v="2"/>
    <x v="2"/>
    <n v="89"/>
    <n v="84"/>
    <n v="114"/>
    <n v="287"/>
    <x v="2"/>
  </r>
  <r>
    <s v="NEET2026100912"/>
    <x v="0"/>
    <x v="590"/>
    <x v="0"/>
    <x v="9"/>
    <x v="0"/>
    <x v="3"/>
    <x v="0"/>
    <n v="33"/>
    <n v="129"/>
    <n v="168"/>
    <n v="330"/>
    <x v="3"/>
  </r>
  <r>
    <s v="NEET2026100913"/>
    <x v="0"/>
    <x v="793"/>
    <x v="7"/>
    <x v="0"/>
    <x v="0"/>
    <x v="3"/>
    <x v="2"/>
    <n v="85"/>
    <n v="135"/>
    <n v="214"/>
    <n v="434"/>
    <x v="0"/>
  </r>
  <r>
    <s v="NEET2024100914"/>
    <x v="1"/>
    <x v="676"/>
    <x v="1"/>
    <x v="9"/>
    <x v="0"/>
    <x v="2"/>
    <x v="1"/>
    <n v="129"/>
    <n v="64"/>
    <n v="230"/>
    <n v="423"/>
    <x v="3"/>
  </r>
  <r>
    <s v="NEET2024100915"/>
    <x v="0"/>
    <x v="794"/>
    <x v="7"/>
    <x v="4"/>
    <x v="0"/>
    <x v="2"/>
    <x v="2"/>
    <n v="179"/>
    <n v="144"/>
    <n v="255"/>
    <n v="578"/>
    <x v="0"/>
  </r>
  <r>
    <s v="NEET2023100916"/>
    <x v="0"/>
    <x v="795"/>
    <x v="3"/>
    <x v="12"/>
    <x v="0"/>
    <x v="4"/>
    <x v="3"/>
    <n v="139"/>
    <n v="92"/>
    <n v="100"/>
    <n v="331"/>
    <x v="3"/>
  </r>
  <r>
    <s v="NEET2024100917"/>
    <x v="1"/>
    <x v="796"/>
    <x v="4"/>
    <x v="7"/>
    <x v="0"/>
    <x v="1"/>
    <x v="3"/>
    <n v="126"/>
    <n v="82"/>
    <n v="79"/>
    <n v="287"/>
    <x v="3"/>
  </r>
  <r>
    <s v="NEET2025100918"/>
    <x v="0"/>
    <x v="797"/>
    <x v="3"/>
    <x v="2"/>
    <x v="1"/>
    <x v="3"/>
    <x v="2"/>
    <n v="40"/>
    <n v="163"/>
    <n v="272"/>
    <n v="475"/>
    <x v="3"/>
  </r>
  <r>
    <s v="NEET2024100919"/>
    <x v="1"/>
    <x v="798"/>
    <x v="4"/>
    <x v="12"/>
    <x v="0"/>
    <x v="1"/>
    <x v="3"/>
    <n v="168"/>
    <n v="43"/>
    <n v="187"/>
    <n v="398"/>
    <x v="2"/>
  </r>
  <r>
    <s v="NEET2024100920"/>
    <x v="0"/>
    <x v="799"/>
    <x v="0"/>
    <x v="11"/>
    <x v="0"/>
    <x v="1"/>
    <x v="2"/>
    <n v="46"/>
    <n v="155"/>
    <n v="95"/>
    <n v="296"/>
    <x v="1"/>
  </r>
  <r>
    <s v="NEET2023100921"/>
    <x v="1"/>
    <x v="800"/>
    <x v="5"/>
    <x v="7"/>
    <x v="0"/>
    <x v="3"/>
    <x v="1"/>
    <n v="170"/>
    <n v="82"/>
    <n v="180"/>
    <n v="432"/>
    <x v="1"/>
  </r>
  <r>
    <s v="NEET2024100922"/>
    <x v="1"/>
    <x v="712"/>
    <x v="2"/>
    <x v="12"/>
    <x v="0"/>
    <x v="0"/>
    <x v="3"/>
    <n v="92"/>
    <n v="138"/>
    <n v="150"/>
    <n v="380"/>
    <x v="2"/>
  </r>
  <r>
    <s v="NEET2025100923"/>
    <x v="1"/>
    <x v="801"/>
    <x v="0"/>
    <x v="12"/>
    <x v="0"/>
    <x v="1"/>
    <x v="1"/>
    <n v="99"/>
    <n v="153"/>
    <n v="100"/>
    <n v="352"/>
    <x v="2"/>
  </r>
  <r>
    <s v="NEET2026100924"/>
    <x v="0"/>
    <x v="802"/>
    <x v="8"/>
    <x v="1"/>
    <x v="0"/>
    <x v="4"/>
    <x v="1"/>
    <n v="159"/>
    <n v="140"/>
    <n v="139"/>
    <n v="438"/>
    <x v="0"/>
  </r>
  <r>
    <s v="NEET2024100925"/>
    <x v="1"/>
    <x v="157"/>
    <x v="2"/>
    <x v="10"/>
    <x v="4"/>
    <x v="4"/>
    <x v="1"/>
    <n v="106"/>
    <n v="167"/>
    <n v="138"/>
    <n v="411"/>
    <x v="3"/>
  </r>
  <r>
    <s v="NEET2023100926"/>
    <x v="1"/>
    <x v="121"/>
    <x v="8"/>
    <x v="3"/>
    <x v="0"/>
    <x v="4"/>
    <x v="2"/>
    <n v="126"/>
    <n v="173"/>
    <n v="306"/>
    <n v="605"/>
    <x v="1"/>
  </r>
  <r>
    <s v="NEET2025100927"/>
    <x v="1"/>
    <x v="803"/>
    <x v="5"/>
    <x v="10"/>
    <x v="4"/>
    <x v="4"/>
    <x v="1"/>
    <n v="78"/>
    <n v="31"/>
    <n v="66"/>
    <n v="175"/>
    <x v="2"/>
  </r>
  <r>
    <s v="NEET2023100928"/>
    <x v="1"/>
    <x v="402"/>
    <x v="2"/>
    <x v="9"/>
    <x v="0"/>
    <x v="2"/>
    <x v="0"/>
    <n v="128"/>
    <n v="155"/>
    <n v="217"/>
    <n v="500"/>
    <x v="2"/>
  </r>
  <r>
    <s v="NEET2025100929"/>
    <x v="1"/>
    <x v="276"/>
    <x v="1"/>
    <x v="7"/>
    <x v="0"/>
    <x v="2"/>
    <x v="3"/>
    <n v="79"/>
    <n v="141"/>
    <n v="190"/>
    <n v="410"/>
    <x v="2"/>
  </r>
  <r>
    <s v="NEET2023100930"/>
    <x v="1"/>
    <x v="459"/>
    <x v="6"/>
    <x v="6"/>
    <x v="3"/>
    <x v="1"/>
    <x v="0"/>
    <n v="93"/>
    <n v="92"/>
    <n v="304"/>
    <n v="489"/>
    <x v="3"/>
  </r>
  <r>
    <s v="NEET2024100931"/>
    <x v="0"/>
    <x v="804"/>
    <x v="1"/>
    <x v="14"/>
    <x v="0"/>
    <x v="2"/>
    <x v="0"/>
    <n v="67"/>
    <n v="95"/>
    <n v="186"/>
    <n v="348"/>
    <x v="2"/>
  </r>
  <r>
    <s v="NEET2024100932"/>
    <x v="1"/>
    <x v="805"/>
    <x v="6"/>
    <x v="6"/>
    <x v="3"/>
    <x v="4"/>
    <x v="2"/>
    <n v="180"/>
    <n v="50"/>
    <n v="325"/>
    <n v="555"/>
    <x v="3"/>
  </r>
  <r>
    <s v="NEET2025100933"/>
    <x v="1"/>
    <x v="806"/>
    <x v="0"/>
    <x v="3"/>
    <x v="0"/>
    <x v="2"/>
    <x v="0"/>
    <n v="158"/>
    <n v="166"/>
    <n v="255"/>
    <n v="579"/>
    <x v="3"/>
  </r>
  <r>
    <s v="NEET2023100934"/>
    <x v="0"/>
    <x v="807"/>
    <x v="5"/>
    <x v="3"/>
    <x v="0"/>
    <x v="2"/>
    <x v="1"/>
    <n v="83"/>
    <n v="131"/>
    <n v="217"/>
    <n v="431"/>
    <x v="0"/>
  </r>
  <r>
    <s v="NEET2025100935"/>
    <x v="1"/>
    <x v="808"/>
    <x v="7"/>
    <x v="13"/>
    <x v="5"/>
    <x v="1"/>
    <x v="2"/>
    <n v="136"/>
    <n v="164"/>
    <n v="273"/>
    <n v="573"/>
    <x v="3"/>
  </r>
  <r>
    <s v="NEET2024100936"/>
    <x v="0"/>
    <x v="809"/>
    <x v="4"/>
    <x v="6"/>
    <x v="3"/>
    <x v="0"/>
    <x v="1"/>
    <n v="64"/>
    <n v="80"/>
    <n v="309"/>
    <n v="453"/>
    <x v="1"/>
  </r>
  <r>
    <s v="NEET2025100937"/>
    <x v="1"/>
    <x v="810"/>
    <x v="4"/>
    <x v="12"/>
    <x v="0"/>
    <x v="0"/>
    <x v="1"/>
    <n v="45"/>
    <n v="76"/>
    <n v="158"/>
    <n v="279"/>
    <x v="0"/>
  </r>
  <r>
    <s v="NEET2026100938"/>
    <x v="0"/>
    <x v="811"/>
    <x v="0"/>
    <x v="7"/>
    <x v="0"/>
    <x v="2"/>
    <x v="3"/>
    <n v="50"/>
    <n v="105"/>
    <n v="103"/>
    <n v="258"/>
    <x v="3"/>
  </r>
  <r>
    <s v="NEET2023100939"/>
    <x v="0"/>
    <x v="812"/>
    <x v="7"/>
    <x v="4"/>
    <x v="0"/>
    <x v="3"/>
    <x v="0"/>
    <n v="90"/>
    <n v="152"/>
    <n v="308"/>
    <n v="550"/>
    <x v="0"/>
  </r>
  <r>
    <s v="NEET2023100940"/>
    <x v="1"/>
    <x v="813"/>
    <x v="0"/>
    <x v="4"/>
    <x v="0"/>
    <x v="4"/>
    <x v="3"/>
    <n v="40"/>
    <n v="54"/>
    <n v="168"/>
    <n v="262"/>
    <x v="2"/>
  </r>
  <r>
    <s v="NEET2025100941"/>
    <x v="1"/>
    <x v="814"/>
    <x v="2"/>
    <x v="9"/>
    <x v="0"/>
    <x v="3"/>
    <x v="2"/>
    <n v="139"/>
    <n v="116"/>
    <n v="249"/>
    <n v="504"/>
    <x v="2"/>
  </r>
  <r>
    <s v="NEET2023100942"/>
    <x v="0"/>
    <x v="815"/>
    <x v="6"/>
    <x v="4"/>
    <x v="0"/>
    <x v="4"/>
    <x v="1"/>
    <n v="44"/>
    <n v="121"/>
    <n v="229"/>
    <n v="394"/>
    <x v="1"/>
  </r>
  <r>
    <s v="NEET2024100943"/>
    <x v="1"/>
    <x v="816"/>
    <x v="7"/>
    <x v="4"/>
    <x v="0"/>
    <x v="0"/>
    <x v="1"/>
    <n v="61"/>
    <n v="165"/>
    <n v="203"/>
    <n v="429"/>
    <x v="2"/>
  </r>
  <r>
    <s v="NEET2023100944"/>
    <x v="1"/>
    <x v="817"/>
    <x v="8"/>
    <x v="1"/>
    <x v="0"/>
    <x v="3"/>
    <x v="0"/>
    <n v="78"/>
    <n v="30"/>
    <n v="224"/>
    <n v="332"/>
    <x v="2"/>
  </r>
  <r>
    <s v="NEET2025100945"/>
    <x v="1"/>
    <x v="818"/>
    <x v="4"/>
    <x v="4"/>
    <x v="0"/>
    <x v="2"/>
    <x v="1"/>
    <n v="154"/>
    <n v="132"/>
    <n v="101"/>
    <n v="387"/>
    <x v="2"/>
  </r>
  <r>
    <s v="NEET2023100946"/>
    <x v="0"/>
    <x v="362"/>
    <x v="3"/>
    <x v="4"/>
    <x v="0"/>
    <x v="2"/>
    <x v="1"/>
    <n v="79"/>
    <n v="66"/>
    <n v="326"/>
    <n v="471"/>
    <x v="3"/>
  </r>
  <r>
    <s v="NEET2023100947"/>
    <x v="1"/>
    <x v="819"/>
    <x v="0"/>
    <x v="8"/>
    <x v="0"/>
    <x v="1"/>
    <x v="2"/>
    <n v="149"/>
    <n v="73"/>
    <n v="288"/>
    <n v="510"/>
    <x v="1"/>
  </r>
  <r>
    <s v="NEET2023100948"/>
    <x v="0"/>
    <x v="820"/>
    <x v="4"/>
    <x v="13"/>
    <x v="5"/>
    <x v="4"/>
    <x v="3"/>
    <n v="52"/>
    <n v="57"/>
    <n v="282"/>
    <n v="391"/>
    <x v="3"/>
  </r>
  <r>
    <s v="NEET2024100949"/>
    <x v="1"/>
    <x v="821"/>
    <x v="4"/>
    <x v="6"/>
    <x v="3"/>
    <x v="3"/>
    <x v="0"/>
    <n v="95"/>
    <n v="151"/>
    <n v="123"/>
    <n v="369"/>
    <x v="1"/>
  </r>
  <r>
    <s v="NEET2026100950"/>
    <x v="1"/>
    <x v="822"/>
    <x v="1"/>
    <x v="13"/>
    <x v="5"/>
    <x v="1"/>
    <x v="2"/>
    <n v="46"/>
    <n v="117"/>
    <n v="253"/>
    <n v="416"/>
    <x v="3"/>
  </r>
  <r>
    <s v="NEET2025100951"/>
    <x v="0"/>
    <x v="823"/>
    <x v="5"/>
    <x v="3"/>
    <x v="0"/>
    <x v="0"/>
    <x v="0"/>
    <n v="52"/>
    <n v="58"/>
    <n v="105"/>
    <n v="215"/>
    <x v="3"/>
  </r>
  <r>
    <s v="NEET2023100952"/>
    <x v="1"/>
    <x v="603"/>
    <x v="5"/>
    <x v="5"/>
    <x v="2"/>
    <x v="0"/>
    <x v="0"/>
    <n v="110"/>
    <n v="127"/>
    <n v="355"/>
    <n v="592"/>
    <x v="1"/>
  </r>
  <r>
    <s v="NEET2024100953"/>
    <x v="0"/>
    <x v="824"/>
    <x v="6"/>
    <x v="1"/>
    <x v="0"/>
    <x v="2"/>
    <x v="1"/>
    <n v="111"/>
    <n v="123"/>
    <n v="124"/>
    <n v="358"/>
    <x v="2"/>
  </r>
  <r>
    <s v="NEET2026100954"/>
    <x v="0"/>
    <x v="825"/>
    <x v="3"/>
    <x v="7"/>
    <x v="0"/>
    <x v="1"/>
    <x v="3"/>
    <n v="105"/>
    <n v="86"/>
    <n v="315"/>
    <n v="506"/>
    <x v="0"/>
  </r>
  <r>
    <s v="NEET2025100955"/>
    <x v="1"/>
    <x v="826"/>
    <x v="1"/>
    <x v="9"/>
    <x v="0"/>
    <x v="4"/>
    <x v="2"/>
    <n v="109"/>
    <n v="158"/>
    <n v="123"/>
    <n v="390"/>
    <x v="3"/>
  </r>
  <r>
    <s v="NEET2024100956"/>
    <x v="0"/>
    <x v="827"/>
    <x v="2"/>
    <x v="1"/>
    <x v="0"/>
    <x v="1"/>
    <x v="0"/>
    <n v="45"/>
    <n v="115"/>
    <n v="138"/>
    <n v="298"/>
    <x v="2"/>
  </r>
  <r>
    <s v="NEET2026100957"/>
    <x v="1"/>
    <x v="828"/>
    <x v="2"/>
    <x v="1"/>
    <x v="0"/>
    <x v="4"/>
    <x v="1"/>
    <n v="106"/>
    <n v="70"/>
    <n v="71"/>
    <n v="247"/>
    <x v="3"/>
  </r>
  <r>
    <s v="NEET2025100958"/>
    <x v="1"/>
    <x v="829"/>
    <x v="2"/>
    <x v="1"/>
    <x v="0"/>
    <x v="0"/>
    <x v="2"/>
    <n v="130"/>
    <n v="48"/>
    <n v="330"/>
    <n v="508"/>
    <x v="2"/>
  </r>
  <r>
    <s v="NEET2025100959"/>
    <x v="1"/>
    <x v="576"/>
    <x v="5"/>
    <x v="7"/>
    <x v="0"/>
    <x v="0"/>
    <x v="2"/>
    <n v="112"/>
    <n v="178"/>
    <n v="87"/>
    <n v="377"/>
    <x v="1"/>
  </r>
  <r>
    <s v="NEET2024100960"/>
    <x v="0"/>
    <x v="830"/>
    <x v="8"/>
    <x v="6"/>
    <x v="3"/>
    <x v="2"/>
    <x v="2"/>
    <n v="153"/>
    <n v="104"/>
    <n v="134"/>
    <n v="391"/>
    <x v="3"/>
  </r>
  <r>
    <s v="NEET2026100961"/>
    <x v="1"/>
    <x v="831"/>
    <x v="2"/>
    <x v="5"/>
    <x v="2"/>
    <x v="2"/>
    <x v="2"/>
    <n v="177"/>
    <n v="56"/>
    <n v="135"/>
    <n v="368"/>
    <x v="0"/>
  </r>
  <r>
    <s v="NEET2025100962"/>
    <x v="1"/>
    <x v="832"/>
    <x v="6"/>
    <x v="14"/>
    <x v="0"/>
    <x v="4"/>
    <x v="2"/>
    <n v="75"/>
    <n v="43"/>
    <n v="120"/>
    <n v="238"/>
    <x v="1"/>
  </r>
  <r>
    <s v="NEET2025100963"/>
    <x v="0"/>
    <x v="833"/>
    <x v="7"/>
    <x v="0"/>
    <x v="0"/>
    <x v="2"/>
    <x v="1"/>
    <n v="91"/>
    <n v="131"/>
    <n v="310"/>
    <n v="532"/>
    <x v="2"/>
  </r>
  <r>
    <s v="NEET2023100964"/>
    <x v="0"/>
    <x v="834"/>
    <x v="0"/>
    <x v="1"/>
    <x v="0"/>
    <x v="2"/>
    <x v="0"/>
    <n v="100"/>
    <n v="143"/>
    <n v="248"/>
    <n v="491"/>
    <x v="0"/>
  </r>
  <r>
    <s v="NEET2026100965"/>
    <x v="1"/>
    <x v="835"/>
    <x v="8"/>
    <x v="2"/>
    <x v="1"/>
    <x v="0"/>
    <x v="0"/>
    <n v="160"/>
    <n v="87"/>
    <n v="71"/>
    <n v="318"/>
    <x v="1"/>
  </r>
  <r>
    <s v="NEET2024100966"/>
    <x v="0"/>
    <x v="246"/>
    <x v="6"/>
    <x v="14"/>
    <x v="0"/>
    <x v="2"/>
    <x v="3"/>
    <n v="141"/>
    <n v="106"/>
    <n v="352"/>
    <n v="599"/>
    <x v="1"/>
  </r>
  <r>
    <s v="NEET2026100967"/>
    <x v="0"/>
    <x v="242"/>
    <x v="6"/>
    <x v="5"/>
    <x v="2"/>
    <x v="1"/>
    <x v="0"/>
    <n v="35"/>
    <n v="130"/>
    <n v="344"/>
    <n v="509"/>
    <x v="0"/>
  </r>
  <r>
    <s v="NEET2026100968"/>
    <x v="1"/>
    <x v="150"/>
    <x v="4"/>
    <x v="5"/>
    <x v="2"/>
    <x v="2"/>
    <x v="0"/>
    <n v="76"/>
    <n v="31"/>
    <n v="344"/>
    <n v="451"/>
    <x v="1"/>
  </r>
  <r>
    <s v="NEET2025100969"/>
    <x v="0"/>
    <x v="413"/>
    <x v="1"/>
    <x v="12"/>
    <x v="0"/>
    <x v="2"/>
    <x v="0"/>
    <n v="71"/>
    <n v="52"/>
    <n v="347"/>
    <n v="470"/>
    <x v="3"/>
  </r>
  <r>
    <s v="NEET2024100970"/>
    <x v="1"/>
    <x v="836"/>
    <x v="6"/>
    <x v="8"/>
    <x v="0"/>
    <x v="0"/>
    <x v="0"/>
    <n v="73"/>
    <n v="138"/>
    <n v="60"/>
    <n v="271"/>
    <x v="3"/>
  </r>
  <r>
    <s v="NEET2026100971"/>
    <x v="1"/>
    <x v="572"/>
    <x v="0"/>
    <x v="8"/>
    <x v="0"/>
    <x v="0"/>
    <x v="3"/>
    <n v="143"/>
    <n v="65"/>
    <n v="355"/>
    <n v="563"/>
    <x v="1"/>
  </r>
  <r>
    <s v="NEET2024100972"/>
    <x v="0"/>
    <x v="521"/>
    <x v="0"/>
    <x v="0"/>
    <x v="0"/>
    <x v="1"/>
    <x v="3"/>
    <n v="41"/>
    <n v="90"/>
    <n v="78"/>
    <n v="209"/>
    <x v="1"/>
  </r>
  <r>
    <s v="NEET2024100973"/>
    <x v="1"/>
    <x v="704"/>
    <x v="1"/>
    <x v="8"/>
    <x v="0"/>
    <x v="0"/>
    <x v="0"/>
    <n v="85"/>
    <n v="121"/>
    <n v="202"/>
    <n v="408"/>
    <x v="3"/>
  </r>
  <r>
    <s v="NEET2023100974"/>
    <x v="1"/>
    <x v="837"/>
    <x v="3"/>
    <x v="1"/>
    <x v="0"/>
    <x v="1"/>
    <x v="1"/>
    <n v="71"/>
    <n v="132"/>
    <n v="293"/>
    <n v="496"/>
    <x v="1"/>
  </r>
  <r>
    <s v="NEET2024100975"/>
    <x v="1"/>
    <x v="838"/>
    <x v="7"/>
    <x v="2"/>
    <x v="1"/>
    <x v="3"/>
    <x v="2"/>
    <n v="98"/>
    <n v="79"/>
    <n v="250"/>
    <n v="427"/>
    <x v="2"/>
  </r>
  <r>
    <s v="NEET2023100976"/>
    <x v="0"/>
    <x v="839"/>
    <x v="6"/>
    <x v="11"/>
    <x v="0"/>
    <x v="2"/>
    <x v="1"/>
    <n v="93"/>
    <n v="49"/>
    <n v="198"/>
    <n v="340"/>
    <x v="3"/>
  </r>
  <r>
    <s v="NEET2024100977"/>
    <x v="0"/>
    <x v="840"/>
    <x v="0"/>
    <x v="0"/>
    <x v="0"/>
    <x v="2"/>
    <x v="3"/>
    <n v="122"/>
    <n v="115"/>
    <n v="199"/>
    <n v="436"/>
    <x v="0"/>
  </r>
  <r>
    <s v="NEET2024100978"/>
    <x v="1"/>
    <x v="230"/>
    <x v="6"/>
    <x v="12"/>
    <x v="0"/>
    <x v="2"/>
    <x v="1"/>
    <n v="126"/>
    <n v="56"/>
    <n v="123"/>
    <n v="305"/>
    <x v="3"/>
  </r>
  <r>
    <s v="NEET2023100979"/>
    <x v="0"/>
    <x v="841"/>
    <x v="0"/>
    <x v="4"/>
    <x v="0"/>
    <x v="3"/>
    <x v="2"/>
    <n v="102"/>
    <n v="171"/>
    <n v="198"/>
    <n v="471"/>
    <x v="2"/>
  </r>
  <r>
    <s v="NEET2026100980"/>
    <x v="0"/>
    <x v="150"/>
    <x v="4"/>
    <x v="9"/>
    <x v="0"/>
    <x v="2"/>
    <x v="3"/>
    <n v="166"/>
    <n v="171"/>
    <n v="266"/>
    <n v="603"/>
    <x v="1"/>
  </r>
  <r>
    <s v="NEET2025100981"/>
    <x v="0"/>
    <x v="842"/>
    <x v="0"/>
    <x v="7"/>
    <x v="0"/>
    <x v="1"/>
    <x v="3"/>
    <n v="66"/>
    <n v="126"/>
    <n v="350"/>
    <n v="542"/>
    <x v="2"/>
  </r>
  <r>
    <s v="NEET2026100982"/>
    <x v="1"/>
    <x v="843"/>
    <x v="2"/>
    <x v="14"/>
    <x v="0"/>
    <x v="4"/>
    <x v="3"/>
    <n v="76"/>
    <n v="142"/>
    <n v="241"/>
    <n v="459"/>
    <x v="1"/>
  </r>
  <r>
    <s v="NEET2025100983"/>
    <x v="0"/>
    <x v="78"/>
    <x v="3"/>
    <x v="2"/>
    <x v="1"/>
    <x v="2"/>
    <x v="0"/>
    <n v="52"/>
    <n v="108"/>
    <n v="268"/>
    <n v="428"/>
    <x v="1"/>
  </r>
  <r>
    <s v="NEET2025100984"/>
    <x v="1"/>
    <x v="844"/>
    <x v="5"/>
    <x v="7"/>
    <x v="0"/>
    <x v="4"/>
    <x v="0"/>
    <n v="177"/>
    <n v="44"/>
    <n v="103"/>
    <n v="324"/>
    <x v="1"/>
  </r>
  <r>
    <s v="NEET2026100985"/>
    <x v="0"/>
    <x v="845"/>
    <x v="8"/>
    <x v="14"/>
    <x v="0"/>
    <x v="2"/>
    <x v="2"/>
    <n v="161"/>
    <n v="166"/>
    <n v="123"/>
    <n v="450"/>
    <x v="2"/>
  </r>
  <r>
    <s v="NEET2023100986"/>
    <x v="1"/>
    <x v="846"/>
    <x v="0"/>
    <x v="8"/>
    <x v="0"/>
    <x v="0"/>
    <x v="2"/>
    <n v="118"/>
    <n v="92"/>
    <n v="330"/>
    <n v="540"/>
    <x v="1"/>
  </r>
  <r>
    <s v="NEET2025100987"/>
    <x v="0"/>
    <x v="847"/>
    <x v="4"/>
    <x v="0"/>
    <x v="0"/>
    <x v="4"/>
    <x v="1"/>
    <n v="123"/>
    <n v="64"/>
    <n v="323"/>
    <n v="510"/>
    <x v="2"/>
  </r>
  <r>
    <s v="NEET2023100988"/>
    <x v="1"/>
    <x v="820"/>
    <x v="4"/>
    <x v="9"/>
    <x v="0"/>
    <x v="4"/>
    <x v="3"/>
    <n v="58"/>
    <n v="116"/>
    <n v="187"/>
    <n v="361"/>
    <x v="3"/>
  </r>
  <r>
    <s v="NEET2024100989"/>
    <x v="1"/>
    <x v="10"/>
    <x v="3"/>
    <x v="12"/>
    <x v="0"/>
    <x v="4"/>
    <x v="0"/>
    <n v="30"/>
    <n v="175"/>
    <n v="261"/>
    <n v="466"/>
    <x v="2"/>
  </r>
  <r>
    <s v="NEET2025100990"/>
    <x v="1"/>
    <x v="848"/>
    <x v="7"/>
    <x v="9"/>
    <x v="0"/>
    <x v="2"/>
    <x v="0"/>
    <n v="31"/>
    <n v="147"/>
    <n v="228"/>
    <n v="406"/>
    <x v="3"/>
  </r>
  <r>
    <s v="NEET2023100991"/>
    <x v="1"/>
    <x v="849"/>
    <x v="2"/>
    <x v="7"/>
    <x v="0"/>
    <x v="1"/>
    <x v="1"/>
    <n v="132"/>
    <n v="120"/>
    <n v="64"/>
    <n v="316"/>
    <x v="0"/>
  </r>
  <r>
    <s v="NEET2026100992"/>
    <x v="0"/>
    <x v="850"/>
    <x v="1"/>
    <x v="8"/>
    <x v="0"/>
    <x v="3"/>
    <x v="2"/>
    <n v="69"/>
    <n v="135"/>
    <n v="123"/>
    <n v="327"/>
    <x v="1"/>
  </r>
  <r>
    <s v="NEET2026100993"/>
    <x v="0"/>
    <x v="363"/>
    <x v="8"/>
    <x v="1"/>
    <x v="0"/>
    <x v="2"/>
    <x v="3"/>
    <n v="125"/>
    <n v="106"/>
    <n v="246"/>
    <n v="477"/>
    <x v="2"/>
  </r>
  <r>
    <s v="NEET2025100994"/>
    <x v="1"/>
    <x v="571"/>
    <x v="0"/>
    <x v="5"/>
    <x v="2"/>
    <x v="3"/>
    <x v="0"/>
    <n v="142"/>
    <n v="71"/>
    <n v="131"/>
    <n v="344"/>
    <x v="1"/>
  </r>
  <r>
    <s v="NEET2026100995"/>
    <x v="1"/>
    <x v="851"/>
    <x v="5"/>
    <x v="12"/>
    <x v="0"/>
    <x v="2"/>
    <x v="3"/>
    <n v="102"/>
    <n v="40"/>
    <n v="128"/>
    <n v="270"/>
    <x v="1"/>
  </r>
  <r>
    <s v="NEET2026100996"/>
    <x v="1"/>
    <x v="852"/>
    <x v="0"/>
    <x v="12"/>
    <x v="0"/>
    <x v="1"/>
    <x v="1"/>
    <n v="152"/>
    <n v="98"/>
    <n v="120"/>
    <n v="370"/>
    <x v="3"/>
  </r>
  <r>
    <s v="NEET2024100997"/>
    <x v="0"/>
    <x v="853"/>
    <x v="2"/>
    <x v="13"/>
    <x v="5"/>
    <x v="2"/>
    <x v="0"/>
    <n v="132"/>
    <n v="158"/>
    <n v="259"/>
    <n v="549"/>
    <x v="1"/>
  </r>
  <r>
    <s v="NEET2023100998"/>
    <x v="1"/>
    <x v="854"/>
    <x v="5"/>
    <x v="9"/>
    <x v="0"/>
    <x v="0"/>
    <x v="1"/>
    <n v="158"/>
    <n v="33"/>
    <n v="181"/>
    <n v="372"/>
    <x v="0"/>
  </r>
  <r>
    <s v="NEET2023100999"/>
    <x v="1"/>
    <x v="855"/>
    <x v="6"/>
    <x v="14"/>
    <x v="0"/>
    <x v="0"/>
    <x v="2"/>
    <n v="104"/>
    <n v="102"/>
    <n v="308"/>
    <n v="514"/>
    <x v="1"/>
  </r>
  <r>
    <s v="NEET2023101000"/>
    <x v="1"/>
    <x v="856"/>
    <x v="2"/>
    <x v="8"/>
    <x v="0"/>
    <x v="4"/>
    <x v="2"/>
    <n v="77"/>
    <n v="93"/>
    <n v="203"/>
    <n v="37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D71027-9B70-4980-AC08-7AC88083601C}" name="PivotTable1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:C19" firstHeaderRow="1" firstDataRow="1" firstDataCol="1" rowPageCount="1" colPageCount="1"/>
  <pivotFields count="1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16">
        <item x="3"/>
        <item x="6"/>
        <item x="5"/>
        <item x="2"/>
        <item x="13"/>
        <item x="9"/>
        <item x="10"/>
        <item x="11"/>
        <item x="7"/>
        <item x="12"/>
        <item x="0"/>
        <item x="4"/>
        <item x="8"/>
        <item x="14"/>
        <item x="1"/>
        <item t="default"/>
      </items>
    </pivotField>
    <pivotField showAll="0"/>
    <pivotField showAll="0"/>
    <pivotField axis="axisPage" multipleItemSelectionAllowed="1" showAll="0">
      <items count="5">
        <item x="0"/>
        <item h="1" x="2"/>
        <item h="1" x="3"/>
        <item h="1" x="1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7" hier="-1"/>
  </pageFields>
  <dataFields count="1">
    <dataField name="Average of Total_Marks_720" fld="11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B301C-54BD-4283-904B-4C00DBBF88AE}" name="PivotTable4" cacheId="27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O4:R10" firstHeaderRow="0" firstDataRow="1" firstDataCol="1" rowPageCount="2" colPageCount="1"/>
  <pivotFields count="15">
    <pivotField showAll="0"/>
    <pivotField axis="axisPage" showAll="0">
      <items count="3">
        <item x="1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7">
        <item x="1"/>
        <item x="3"/>
        <item x="0"/>
        <item x="2"/>
        <item x="5"/>
        <item x="4"/>
        <item t="default"/>
      </items>
    </pivotField>
    <pivotField showAll="0"/>
    <pivotField multipleItemSelectionAllowed="1" showAll="0"/>
    <pivotField dataField="1" showAll="0"/>
    <pivotField dataField="1" showAll="0"/>
    <pivotField dataField="1" showAll="0"/>
    <pivotField showAll="0"/>
    <pivotField axis="axisPage" multipleItemSelectionAllowed="1" showAll="0">
      <items count="5">
        <item h="1" x="0"/>
        <item h="1" x="1"/>
        <item x="3"/>
        <item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3">
    <i>
      <x/>
    </i>
    <i i="1">
      <x v="1"/>
    </i>
    <i i="2">
      <x v="2"/>
    </i>
  </colItems>
  <pageFields count="2">
    <pageField fld="1" item="1" hier="-1"/>
    <pageField fld="12" hier="-1"/>
  </pageFields>
  <dataFields count="3">
    <dataField name="Max of Biology_Marks_360" fld="10" subtotal="max" baseField="4" baseItem="0"/>
    <dataField name="Max of Physics_Marks_180" fld="8" subtotal="max" baseField="4" baseItem="0"/>
    <dataField name="Max of Chemistry_Marks_180" fld="9" subtotal="max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BDE34-F046-4EBD-A029-7B13681B5329}" name="PivotTable3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3:M16" firstHeaderRow="0" firstDataRow="1" firstDataCol="1"/>
  <pivotFields count="15">
    <pivotField showAll="0"/>
    <pivotField axis="axisRow" showAll="0">
      <items count="3">
        <item x="1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dataField="1" showAll="0"/>
    <pivotField axis="axisRow" showAll="0">
      <items count="5">
        <item x="0"/>
        <item x="1"/>
        <item x="3"/>
        <item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2">
    <field x="12"/>
    <field x="1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Total_Marks_720" fld="11" subtotal="max" baseField="11" baseItem="0"/>
    <dataField name="Min of Total_Marks_720" fld="11" subtotal="min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7135E-67C0-4B3D-A7BF-387C811BC08A}" name="PivotTable2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3:I10" firstHeaderRow="1" firstDataRow="2" firstDataCol="1" rowPageCount="1" colPageCount="1"/>
  <pivotFields count="15">
    <pivotField dataField="1" showAll="0"/>
    <pivotField axis="axisCol" showAll="0">
      <items count="3">
        <item x="1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multipleItemSelectionAllowed="1" showAll="0"/>
    <pivotField showAll="0"/>
    <pivotField showAll="0"/>
    <pivotField showAll="0"/>
    <pivotField showAll="0"/>
    <pivotField axis="axisPage" showAll="0">
      <items count="5">
        <item x="0"/>
        <item x="1"/>
        <item x="3"/>
        <item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12" item="0" hier="-1"/>
  </pageFields>
  <dataFields count="1">
    <dataField name="Count of Seat_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55A0B-B41D-4B6A-BBD7-D6B13442AD7B}" name="PivotTable20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F3:AG14" firstHeaderRow="1" firstDataRow="1" firstDataCol="1"/>
  <pivotFields count="1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1">
        <item x="9"/>
        <item x="2"/>
        <item x="0"/>
        <item x="1"/>
        <item x="8"/>
        <item x="6"/>
        <item x="3"/>
        <item x="4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otal_Marks_720" fld="11" subtotal="count" baseField="3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C0511-1550-4DE4-9EF4-98BFCD395BCB}" name="PivotTable19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U2:V12" firstHeaderRow="1" firstDataRow="1" firstDataCol="1"/>
  <pivotFields count="1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4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otal_Marks_720" fld="11" subtotal="count" baseField="13" baseItem="1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5B6D20-18B4-41AB-B9DA-B5E400E24AC6}" name="PivotTable18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U24:V34" firstHeaderRow="1" firstDataRow="1" firstDataCol="1"/>
  <pivotFields count="1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4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Total_Marks_720" fld="11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7A017-AF86-497F-B51C-E14CF94CBD94}" name="PivotTable3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7">
  <location ref="J2:K7" firstHeaderRow="1" firstDataRow="1" firstDataCol="1"/>
  <pivotFields count="1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otal_Marks_720" fld="11" subtotal="count" baseField="4" baseItem="0"/>
  </dataField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DB440-EFF4-44A0-845D-91489872616B}" name="PivotTable8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24:K30" firstHeaderRow="1" firstDataRow="1" firstDataCol="1"/>
  <pivotFields count="1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otal_Marks_720" fld="11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54676-FE8C-485A-9104-879DD87B02BF}" name="PivotTable10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R24:S29" firstHeaderRow="1" firstDataRow="1" firstDataCol="1"/>
  <pivotFields count="1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1"/>
        <item x="3"/>
        <item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_Marks_720" fld="11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45F1A-B387-4E28-A9F7-EA00F4551286}" name="PivotTable2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6">
  <location ref="F2:G9" firstHeaderRow="1" firstDataRow="1" firstDataCol="1"/>
  <pivotFields count="1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7">
        <item x="1"/>
        <item x="3"/>
        <item x="0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otal_Marks_720" fld="11" subtotal="count" baseField="4" baseItem="0"/>
  </dataFields>
  <chartFormats count="1">
    <chartFormat chart="4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45FB0-3DE8-46C9-A0E5-872B68676623}" name="PivotTable5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R2:S18" firstHeaderRow="1" firstDataRow="1" firstDataCol="1"/>
  <pivotFields count="1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16">
        <item x="3"/>
        <item x="6"/>
        <item x="5"/>
        <item x="2"/>
        <item x="13"/>
        <item x="9"/>
        <item x="10"/>
        <item x="11"/>
        <item x="7"/>
        <item x="12"/>
        <item x="0"/>
        <item x="4"/>
        <item x="8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Total_Marks_720" fld="11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FA7CD-B653-4584-A13E-B7ABE5CAC113}" name="PivotTable9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24:O29" firstHeaderRow="1" firstDataRow="1" firstDataCol="1"/>
  <pivotFields count="1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_Marks_720" fld="11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FE857-C7B9-4F75-98D3-04F9FD33CE41}" name="PivotTable7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24:G31" firstHeaderRow="1" firstDataRow="1" firstDataCol="1"/>
  <pivotFields count="1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7">
        <item x="1"/>
        <item x="3"/>
        <item x="0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otal_Marks_720" fld="11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46C32-CCB7-4722-8A2F-97FF058ACFAE}" name="PivotTable1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B2:C5" firstHeaderRow="1" firstDataRow="1" firstDataCol="1"/>
  <pivotFields count="15">
    <pivotField showAll="0"/>
    <pivotField axis="axisRow" showAll="0">
      <items count="3">
        <item x="1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Total_Marks_720" fld="11" subtotal="count" baseField="1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706AB-0ECD-403F-967D-9EFFC071F1B9}" name="PivotTable4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N2:O8" firstHeaderRow="1" firstDataRow="1" firstDataCol="1"/>
  <pivotFields count="1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otal_Marks_720" fld="11" subtotal="count" baseField="4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7CAE7-3D84-4979-A079-F219CD7107CD}" name="PivotTable6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4:C27" firstHeaderRow="1" firstDataRow="1" firstDataCol="1"/>
  <pivotFields count="15">
    <pivotField showAll="0"/>
    <pivotField axis="axisRow" showAll="0">
      <items count="3">
        <item x="1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Total_Marks_720" fld="11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734FA9-9326-461F-B8CC-542BE1924F41}" name="NEET" displayName="NEET" ref="A1:M1001" totalsRowShown="0">
  <autoFilter ref="A1:M1001" xr:uid="{0C914FC9-8F0B-4906-9FE7-9157ECA642A5}"/>
  <tableColumns count="13">
    <tableColumn id="1" xr3:uid="{AB802061-301A-47D1-AA66-2FEF5EEE7D59}" name="Seat_No"/>
    <tableColumn id="2" xr3:uid="{FE940242-ABB8-4F3C-AEB2-5AA28C749213}" name="Gender"/>
    <tableColumn id="3" xr3:uid="{DA20B006-1FE0-42DE-976A-E19C94FED840}" name="Date_of_Birth" dataDxfId="1"/>
    <tableColumn id="13" xr3:uid="{682E1C3A-F4AC-48BE-8B1C-550D2D44E6E6}" name="Age of Student" dataDxfId="0">
      <calculatedColumnFormula>ROUND(YEARFRAC(NEET[[#This Row],[Date_of_Birth]],TODAY()),0)</calculatedColumnFormula>
    </tableColumn>
    <tableColumn id="4" xr3:uid="{26B27820-DADB-482A-9E17-5835BFFDD049}" name="City"/>
    <tableColumn id="5" xr3:uid="{E56013E0-FC59-41A8-8B1B-B8B9A2532E95}" name="State"/>
    <tableColumn id="6" xr3:uid="{10DE24CB-BB2D-46CD-A684-D19375919D3F}" name="Category"/>
    <tableColumn id="7" xr3:uid="{F9FF8D44-3D55-47D3-AC22-93BDCCAB60AC}" name="Attempt_No"/>
    <tableColumn id="8" xr3:uid="{41895DFA-41F3-40A8-85F8-78937CF03B00}" name="Physics_Marks_180"/>
    <tableColumn id="9" xr3:uid="{64C9A24E-DA3A-4983-94A3-3FCD9F2BBDBA}" name="Chemistry_Marks_180"/>
    <tableColumn id="10" xr3:uid="{57DE2003-4BA2-4509-9395-0A31D52D391E}" name="Biology_Marks_360"/>
    <tableColumn id="11" xr3:uid="{D8D35ED8-BFB4-4BA9-A88D-CD10A4FECC80}" name="Total_Marks_720"/>
    <tableColumn id="12" xr3:uid="{EB895606-CF90-4BCE-8D0C-25590D52F8BA}" name="Exam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13" Type="http://schemas.openxmlformats.org/officeDocument/2006/relationships/pivotTable" Target="../pivotTables/pivotTable17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12" Type="http://schemas.openxmlformats.org/officeDocument/2006/relationships/pivotTable" Target="../pivotTables/pivotTable16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11" Type="http://schemas.openxmlformats.org/officeDocument/2006/relationships/pivotTable" Target="../pivotTables/pivotTable15.xml"/><Relationship Id="rId5" Type="http://schemas.openxmlformats.org/officeDocument/2006/relationships/pivotTable" Target="../pivotTables/pivotTable9.xml"/><Relationship Id="rId10" Type="http://schemas.openxmlformats.org/officeDocument/2006/relationships/pivotTable" Target="../pivotTables/pivotTable14.xml"/><Relationship Id="rId4" Type="http://schemas.openxmlformats.org/officeDocument/2006/relationships/pivotTable" Target="../pivotTables/pivotTable8.xml"/><Relationship Id="rId9" Type="http://schemas.openxmlformats.org/officeDocument/2006/relationships/pivotTable" Target="../pivotTables/pivotTable13.xml"/><Relationship Id="rId1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activeCell="D9" sqref="D9"/>
    </sheetView>
  </sheetViews>
  <sheetFormatPr defaultRowHeight="15" x14ac:dyDescent="0.25"/>
  <cols>
    <col min="1" max="1" width="18" customWidth="1"/>
    <col min="2" max="2" width="11.42578125" customWidth="1"/>
    <col min="3" max="4" width="15.42578125" customWidth="1"/>
    <col min="5" max="5" width="11.5703125" bestFit="1" customWidth="1"/>
    <col min="6" max="6" width="12" bestFit="1" customWidth="1"/>
    <col min="7" max="7" width="11" customWidth="1"/>
    <col min="8" max="8" width="14.140625" customWidth="1"/>
    <col min="9" max="9" width="20" customWidth="1"/>
    <col min="10" max="10" width="22.5703125" customWidth="1"/>
    <col min="11" max="11" width="20.140625" customWidth="1"/>
    <col min="12" max="12" width="18" customWidth="1"/>
    <col min="13" max="13" width="12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1074</v>
      </c>
      <c r="E1" t="s">
        <v>4</v>
      </c>
      <c r="F1" t="s">
        <v>5</v>
      </c>
      <c r="G1" t="s">
        <v>6</v>
      </c>
      <c r="H1" t="s">
        <v>3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 t="s">
        <v>13</v>
      </c>
      <c r="C2" s="1">
        <v>39145</v>
      </c>
      <c r="D2" s="8">
        <f ca="1">ROUND(YEARFRAC(NEET[[#This Row],[Date_of_Birth]],TODAY()),0)</f>
        <v>19</v>
      </c>
      <c r="E2" t="s">
        <v>14</v>
      </c>
      <c r="F2" t="s">
        <v>15</v>
      </c>
      <c r="G2" t="s">
        <v>16</v>
      </c>
      <c r="H2">
        <v>1</v>
      </c>
      <c r="I2">
        <v>36</v>
      </c>
      <c r="J2">
        <v>100</v>
      </c>
      <c r="K2">
        <v>185</v>
      </c>
      <c r="L2">
        <v>321</v>
      </c>
      <c r="M2">
        <v>2023</v>
      </c>
    </row>
    <row r="3" spans="1:13" x14ac:dyDescent="0.25">
      <c r="A3" t="s">
        <v>17</v>
      </c>
      <c r="B3" t="s">
        <v>13</v>
      </c>
      <c r="C3" s="1">
        <v>38944</v>
      </c>
      <c r="D3" s="8">
        <f ca="1">ROUND(YEARFRAC(NEET[[#This Row],[Date_of_Birth]],TODAY()),0)</f>
        <v>20</v>
      </c>
      <c r="E3" t="s">
        <v>18</v>
      </c>
      <c r="F3" t="s">
        <v>15</v>
      </c>
      <c r="G3" t="s">
        <v>16</v>
      </c>
      <c r="H3">
        <v>1</v>
      </c>
      <c r="I3">
        <v>38</v>
      </c>
      <c r="J3">
        <v>37</v>
      </c>
      <c r="K3">
        <v>107</v>
      </c>
      <c r="L3">
        <v>182</v>
      </c>
      <c r="M3">
        <v>2024</v>
      </c>
    </row>
    <row r="4" spans="1:13" x14ac:dyDescent="0.25">
      <c r="A4" t="s">
        <v>19</v>
      </c>
      <c r="B4" t="s">
        <v>20</v>
      </c>
      <c r="C4" s="1">
        <v>39458</v>
      </c>
      <c r="D4" s="8">
        <f ca="1">ROUND(YEARFRAC(NEET[[#This Row],[Date_of_Birth]],TODAY()),0)</f>
        <v>18</v>
      </c>
      <c r="E4" t="s">
        <v>21</v>
      </c>
      <c r="F4" t="s">
        <v>21</v>
      </c>
      <c r="G4" t="s">
        <v>22</v>
      </c>
      <c r="H4">
        <v>1</v>
      </c>
      <c r="I4">
        <v>169</v>
      </c>
      <c r="J4">
        <v>137</v>
      </c>
      <c r="K4">
        <v>172</v>
      </c>
      <c r="L4">
        <v>478</v>
      </c>
      <c r="M4">
        <v>2026</v>
      </c>
    </row>
    <row r="5" spans="1:13" x14ac:dyDescent="0.25">
      <c r="A5" t="s">
        <v>23</v>
      </c>
      <c r="B5" t="s">
        <v>13</v>
      </c>
      <c r="C5" s="1">
        <v>37919</v>
      </c>
      <c r="D5" s="8">
        <f ca="1">ROUND(YEARFRAC(NEET[[#This Row],[Date_of_Birth]],TODAY()),0)</f>
        <v>23</v>
      </c>
      <c r="E5" t="s">
        <v>24</v>
      </c>
      <c r="F5" t="s">
        <v>15</v>
      </c>
      <c r="G5" t="s">
        <v>25</v>
      </c>
      <c r="H5">
        <v>4</v>
      </c>
      <c r="I5">
        <v>69</v>
      </c>
      <c r="J5">
        <v>85</v>
      </c>
      <c r="K5">
        <v>232</v>
      </c>
      <c r="L5">
        <v>386</v>
      </c>
      <c r="M5">
        <v>2025</v>
      </c>
    </row>
    <row r="6" spans="1:13" x14ac:dyDescent="0.25">
      <c r="A6" t="s">
        <v>26</v>
      </c>
      <c r="B6" t="s">
        <v>20</v>
      </c>
      <c r="C6" s="1">
        <v>37934</v>
      </c>
      <c r="D6" s="8">
        <f ca="1">ROUND(YEARFRAC(NEET[[#This Row],[Date_of_Birth]],TODAY()),0)</f>
        <v>23</v>
      </c>
      <c r="E6" t="s">
        <v>27</v>
      </c>
      <c r="F6" t="s">
        <v>15</v>
      </c>
      <c r="G6" t="s">
        <v>16</v>
      </c>
      <c r="H6">
        <v>1</v>
      </c>
      <c r="I6">
        <v>97</v>
      </c>
      <c r="J6">
        <v>41</v>
      </c>
      <c r="K6">
        <v>295</v>
      </c>
      <c r="L6">
        <v>433</v>
      </c>
      <c r="M6">
        <v>2025</v>
      </c>
    </row>
    <row r="7" spans="1:13" x14ac:dyDescent="0.25">
      <c r="A7" t="s">
        <v>28</v>
      </c>
      <c r="B7" t="s">
        <v>13</v>
      </c>
      <c r="C7" s="1">
        <v>39100</v>
      </c>
      <c r="D7" s="8">
        <f ca="1">ROUND(YEARFRAC(NEET[[#This Row],[Date_of_Birth]],TODAY()),0)</f>
        <v>19</v>
      </c>
      <c r="E7" t="s">
        <v>27</v>
      </c>
      <c r="F7" t="s">
        <v>15</v>
      </c>
      <c r="G7" t="s">
        <v>29</v>
      </c>
      <c r="H7">
        <v>2</v>
      </c>
      <c r="I7">
        <v>122</v>
      </c>
      <c r="J7">
        <v>177</v>
      </c>
      <c r="K7">
        <v>158</v>
      </c>
      <c r="L7">
        <v>457</v>
      </c>
      <c r="M7">
        <v>2023</v>
      </c>
    </row>
    <row r="8" spans="1:13" x14ac:dyDescent="0.25">
      <c r="A8" t="s">
        <v>30</v>
      </c>
      <c r="B8" t="s">
        <v>20</v>
      </c>
      <c r="C8" s="1">
        <v>37479</v>
      </c>
      <c r="D8" s="8">
        <f ca="1">ROUND(YEARFRAC(NEET[[#This Row],[Date_of_Birth]],TODAY()),0)</f>
        <v>24</v>
      </c>
      <c r="E8" t="s">
        <v>31</v>
      </c>
      <c r="F8" t="s">
        <v>32</v>
      </c>
      <c r="G8" t="s">
        <v>29</v>
      </c>
      <c r="H8">
        <v>2</v>
      </c>
      <c r="I8">
        <v>55</v>
      </c>
      <c r="J8">
        <v>127</v>
      </c>
      <c r="K8">
        <v>202</v>
      </c>
      <c r="L8">
        <v>384</v>
      </c>
      <c r="M8">
        <v>2025</v>
      </c>
    </row>
    <row r="9" spans="1:13" x14ac:dyDescent="0.25">
      <c r="A9" t="s">
        <v>33</v>
      </c>
      <c r="B9" t="s">
        <v>13</v>
      </c>
      <c r="C9" s="1">
        <v>37384</v>
      </c>
      <c r="D9" s="8">
        <f ca="1">ROUND(YEARFRAC(NEET[[#This Row],[Date_of_Birth]],TODAY()),0)</f>
        <v>24</v>
      </c>
      <c r="E9" t="s">
        <v>21</v>
      </c>
      <c r="F9" t="s">
        <v>21</v>
      </c>
      <c r="G9" t="s">
        <v>34</v>
      </c>
      <c r="H9">
        <v>4</v>
      </c>
      <c r="I9">
        <v>98</v>
      </c>
      <c r="J9">
        <v>48</v>
      </c>
      <c r="K9">
        <v>147</v>
      </c>
      <c r="L9">
        <v>293</v>
      </c>
      <c r="M9">
        <v>2025</v>
      </c>
    </row>
    <row r="10" spans="1:13" x14ac:dyDescent="0.25">
      <c r="A10" t="s">
        <v>35</v>
      </c>
      <c r="B10" t="s">
        <v>13</v>
      </c>
      <c r="C10" s="1">
        <v>39147</v>
      </c>
      <c r="D10" s="8">
        <f ca="1">ROUND(YEARFRAC(NEET[[#This Row],[Date_of_Birth]],TODAY()),0)</f>
        <v>19</v>
      </c>
      <c r="E10" t="s">
        <v>36</v>
      </c>
      <c r="F10" t="s">
        <v>37</v>
      </c>
      <c r="G10" t="s">
        <v>29</v>
      </c>
      <c r="H10">
        <v>1</v>
      </c>
      <c r="I10">
        <v>172</v>
      </c>
      <c r="J10">
        <v>86</v>
      </c>
      <c r="K10">
        <v>226</v>
      </c>
      <c r="L10">
        <v>484</v>
      </c>
      <c r="M10">
        <v>2026</v>
      </c>
    </row>
    <row r="11" spans="1:13" x14ac:dyDescent="0.25">
      <c r="A11" t="s">
        <v>38</v>
      </c>
      <c r="B11" t="s">
        <v>20</v>
      </c>
      <c r="C11" s="1">
        <v>37622</v>
      </c>
      <c r="D11" s="8">
        <f ca="1">ROUND(YEARFRAC(NEET[[#This Row],[Date_of_Birth]],TODAY()),0)</f>
        <v>23</v>
      </c>
      <c r="E11" t="s">
        <v>14</v>
      </c>
      <c r="F11" t="s">
        <v>15</v>
      </c>
      <c r="G11" t="s">
        <v>34</v>
      </c>
      <c r="H11">
        <v>4</v>
      </c>
      <c r="I11">
        <v>84</v>
      </c>
      <c r="J11">
        <v>175</v>
      </c>
      <c r="K11">
        <v>221</v>
      </c>
      <c r="L11">
        <v>480</v>
      </c>
      <c r="M11">
        <v>2024</v>
      </c>
    </row>
    <row r="12" spans="1:13" x14ac:dyDescent="0.25">
      <c r="A12" t="s">
        <v>39</v>
      </c>
      <c r="B12" t="s">
        <v>20</v>
      </c>
      <c r="C12" s="1">
        <v>37610</v>
      </c>
      <c r="D12" s="8">
        <f ca="1">ROUND(YEARFRAC(NEET[[#This Row],[Date_of_Birth]],TODAY()),0)</f>
        <v>23</v>
      </c>
      <c r="E12" t="s">
        <v>40</v>
      </c>
      <c r="F12" t="s">
        <v>15</v>
      </c>
      <c r="G12" t="s">
        <v>29</v>
      </c>
      <c r="H12">
        <v>4</v>
      </c>
      <c r="I12">
        <v>93</v>
      </c>
      <c r="J12">
        <v>173</v>
      </c>
      <c r="K12">
        <v>335</v>
      </c>
      <c r="L12">
        <v>601</v>
      </c>
      <c r="M12">
        <v>2024</v>
      </c>
    </row>
    <row r="13" spans="1:13" x14ac:dyDescent="0.25">
      <c r="A13" t="s">
        <v>41</v>
      </c>
      <c r="B13" t="s">
        <v>13</v>
      </c>
      <c r="C13" s="1">
        <v>37092</v>
      </c>
      <c r="D13" s="8">
        <f ca="1">ROUND(YEARFRAC(NEET[[#This Row],[Date_of_Birth]],TODAY()),0)</f>
        <v>25</v>
      </c>
      <c r="E13" t="s">
        <v>42</v>
      </c>
      <c r="F13" t="s">
        <v>15</v>
      </c>
      <c r="G13" t="s">
        <v>34</v>
      </c>
      <c r="H13">
        <v>2</v>
      </c>
      <c r="I13">
        <v>156</v>
      </c>
      <c r="J13">
        <v>53</v>
      </c>
      <c r="K13">
        <v>84</v>
      </c>
      <c r="L13">
        <v>293</v>
      </c>
      <c r="M13">
        <v>2023</v>
      </c>
    </row>
    <row r="14" spans="1:13" x14ac:dyDescent="0.25">
      <c r="A14" t="s">
        <v>43</v>
      </c>
      <c r="B14" t="s">
        <v>13</v>
      </c>
      <c r="C14" s="1">
        <v>38102</v>
      </c>
      <c r="D14" s="8">
        <f ca="1">ROUND(YEARFRAC(NEET[[#This Row],[Date_of_Birth]],TODAY()),0)</f>
        <v>22</v>
      </c>
      <c r="E14" t="s">
        <v>18</v>
      </c>
      <c r="F14" t="s">
        <v>15</v>
      </c>
      <c r="G14" t="s">
        <v>29</v>
      </c>
      <c r="H14">
        <v>3</v>
      </c>
      <c r="I14">
        <v>149</v>
      </c>
      <c r="J14">
        <v>165</v>
      </c>
      <c r="K14">
        <v>188</v>
      </c>
      <c r="L14">
        <v>502</v>
      </c>
      <c r="M14">
        <v>2023</v>
      </c>
    </row>
    <row r="15" spans="1:13" x14ac:dyDescent="0.25">
      <c r="A15" t="s">
        <v>44</v>
      </c>
      <c r="B15" t="s">
        <v>13</v>
      </c>
      <c r="C15" s="1">
        <v>37728</v>
      </c>
      <c r="D15" s="8">
        <f ca="1">ROUND(YEARFRAC(NEET[[#This Row],[Date_of_Birth]],TODAY()),0)</f>
        <v>23</v>
      </c>
      <c r="E15" t="s">
        <v>18</v>
      </c>
      <c r="F15" t="s">
        <v>15</v>
      </c>
      <c r="G15" t="s">
        <v>29</v>
      </c>
      <c r="H15">
        <v>1</v>
      </c>
      <c r="I15">
        <v>70</v>
      </c>
      <c r="J15">
        <v>146</v>
      </c>
      <c r="K15">
        <v>61</v>
      </c>
      <c r="L15">
        <v>277</v>
      </c>
      <c r="M15">
        <v>2024</v>
      </c>
    </row>
    <row r="16" spans="1:13" x14ac:dyDescent="0.25">
      <c r="A16" t="s">
        <v>45</v>
      </c>
      <c r="B16" t="s">
        <v>20</v>
      </c>
      <c r="C16" s="1">
        <v>37152</v>
      </c>
      <c r="D16" s="8">
        <f ca="1">ROUND(YEARFRAC(NEET[[#This Row],[Date_of_Birth]],TODAY()),0)</f>
        <v>25</v>
      </c>
      <c r="E16" t="s">
        <v>46</v>
      </c>
      <c r="F16" t="s">
        <v>15</v>
      </c>
      <c r="G16" t="s">
        <v>25</v>
      </c>
      <c r="H16">
        <v>4</v>
      </c>
      <c r="I16">
        <v>71</v>
      </c>
      <c r="J16">
        <v>168</v>
      </c>
      <c r="K16">
        <v>331</v>
      </c>
      <c r="L16">
        <v>570</v>
      </c>
      <c r="M16">
        <v>2023</v>
      </c>
    </row>
    <row r="17" spans="1:13" x14ac:dyDescent="0.25">
      <c r="A17" t="s">
        <v>47</v>
      </c>
      <c r="B17" t="s">
        <v>13</v>
      </c>
      <c r="C17" s="1">
        <v>38012</v>
      </c>
      <c r="D17" s="8">
        <f ca="1">ROUND(YEARFRAC(NEET[[#This Row],[Date_of_Birth]],TODAY()),0)</f>
        <v>22</v>
      </c>
      <c r="E17" t="s">
        <v>48</v>
      </c>
      <c r="F17" t="s">
        <v>49</v>
      </c>
      <c r="G17" t="s">
        <v>34</v>
      </c>
      <c r="H17">
        <v>1</v>
      </c>
      <c r="I17">
        <v>108</v>
      </c>
      <c r="J17">
        <v>91</v>
      </c>
      <c r="K17">
        <v>89</v>
      </c>
      <c r="L17">
        <v>288</v>
      </c>
      <c r="M17">
        <v>2023</v>
      </c>
    </row>
    <row r="18" spans="1:13" x14ac:dyDescent="0.25">
      <c r="A18" t="s">
        <v>50</v>
      </c>
      <c r="B18" t="s">
        <v>20</v>
      </c>
      <c r="C18" s="1">
        <v>39641</v>
      </c>
      <c r="D18" s="8">
        <f ca="1">ROUND(YEARFRAC(NEET[[#This Row],[Date_of_Birth]],TODAY()),0)</f>
        <v>18</v>
      </c>
      <c r="E18" t="s">
        <v>42</v>
      </c>
      <c r="F18" t="s">
        <v>15</v>
      </c>
      <c r="G18" t="s">
        <v>22</v>
      </c>
      <c r="H18">
        <v>4</v>
      </c>
      <c r="I18">
        <v>62</v>
      </c>
      <c r="J18">
        <v>62</v>
      </c>
      <c r="K18">
        <v>303</v>
      </c>
      <c r="L18">
        <v>427</v>
      </c>
      <c r="M18">
        <v>2024</v>
      </c>
    </row>
    <row r="19" spans="1:13" x14ac:dyDescent="0.25">
      <c r="A19" t="s">
        <v>51</v>
      </c>
      <c r="B19" t="s">
        <v>13</v>
      </c>
      <c r="C19" s="1">
        <v>39446</v>
      </c>
      <c r="D19" s="8">
        <f ca="1">ROUND(YEARFRAC(NEET[[#This Row],[Date_of_Birth]],TODAY()),0)</f>
        <v>18</v>
      </c>
      <c r="E19" t="s">
        <v>24</v>
      </c>
      <c r="F19" t="s">
        <v>15</v>
      </c>
      <c r="G19" t="s">
        <v>22</v>
      </c>
      <c r="H19">
        <v>2</v>
      </c>
      <c r="I19">
        <v>132</v>
      </c>
      <c r="J19">
        <v>125</v>
      </c>
      <c r="K19">
        <v>284</v>
      </c>
      <c r="L19">
        <v>541</v>
      </c>
      <c r="M19">
        <v>2023</v>
      </c>
    </row>
    <row r="20" spans="1:13" x14ac:dyDescent="0.25">
      <c r="A20" t="s">
        <v>52</v>
      </c>
      <c r="B20" t="s">
        <v>13</v>
      </c>
      <c r="C20" s="1">
        <v>37910</v>
      </c>
      <c r="D20" s="8">
        <f ca="1">ROUND(YEARFRAC(NEET[[#This Row],[Date_of_Birth]],TODAY()),0)</f>
        <v>23</v>
      </c>
      <c r="E20" t="s">
        <v>53</v>
      </c>
      <c r="F20" t="s">
        <v>15</v>
      </c>
      <c r="G20" t="s">
        <v>25</v>
      </c>
      <c r="H20">
        <v>1</v>
      </c>
      <c r="I20">
        <v>180</v>
      </c>
      <c r="J20">
        <v>171</v>
      </c>
      <c r="K20">
        <v>177</v>
      </c>
      <c r="L20">
        <v>528</v>
      </c>
      <c r="M20">
        <v>2024</v>
      </c>
    </row>
    <row r="21" spans="1:13" x14ac:dyDescent="0.25">
      <c r="A21" t="s">
        <v>54</v>
      </c>
      <c r="B21" t="s">
        <v>20</v>
      </c>
      <c r="C21" s="1">
        <v>36802</v>
      </c>
      <c r="D21" s="8">
        <f ca="1">ROUND(YEARFRAC(NEET[[#This Row],[Date_of_Birth]],TODAY()),0)</f>
        <v>26</v>
      </c>
      <c r="E21" t="s">
        <v>48</v>
      </c>
      <c r="F21" t="s">
        <v>49</v>
      </c>
      <c r="G21" t="s">
        <v>22</v>
      </c>
      <c r="H21">
        <v>4</v>
      </c>
      <c r="I21">
        <v>38</v>
      </c>
      <c r="J21">
        <v>114</v>
      </c>
      <c r="K21">
        <v>96</v>
      </c>
      <c r="L21">
        <v>248</v>
      </c>
      <c r="M21">
        <v>2024</v>
      </c>
    </row>
    <row r="22" spans="1:13" x14ac:dyDescent="0.25">
      <c r="A22" t="s">
        <v>55</v>
      </c>
      <c r="B22" t="s">
        <v>20</v>
      </c>
      <c r="C22" s="1">
        <v>39488</v>
      </c>
      <c r="D22" s="8">
        <f ca="1">ROUND(YEARFRAC(NEET[[#This Row],[Date_of_Birth]],TODAY()),0)</f>
        <v>18</v>
      </c>
      <c r="E22" t="s">
        <v>48</v>
      </c>
      <c r="F22" t="s">
        <v>49</v>
      </c>
      <c r="G22" t="s">
        <v>22</v>
      </c>
      <c r="H22">
        <v>4</v>
      </c>
      <c r="I22">
        <v>176</v>
      </c>
      <c r="J22">
        <v>177</v>
      </c>
      <c r="K22">
        <v>302</v>
      </c>
      <c r="L22">
        <v>655</v>
      </c>
      <c r="M22">
        <v>2023</v>
      </c>
    </row>
    <row r="23" spans="1:13" x14ac:dyDescent="0.25">
      <c r="A23" t="s">
        <v>56</v>
      </c>
      <c r="B23" t="s">
        <v>20</v>
      </c>
      <c r="C23" s="1">
        <v>36923</v>
      </c>
      <c r="D23" s="8">
        <f ca="1">ROUND(YEARFRAC(NEET[[#This Row],[Date_of_Birth]],TODAY()),0)</f>
        <v>25</v>
      </c>
      <c r="E23" t="s">
        <v>21</v>
      </c>
      <c r="F23" t="s">
        <v>21</v>
      </c>
      <c r="G23" t="s">
        <v>25</v>
      </c>
      <c r="H23">
        <v>1</v>
      </c>
      <c r="I23">
        <v>140</v>
      </c>
      <c r="J23">
        <v>120</v>
      </c>
      <c r="K23">
        <v>276</v>
      </c>
      <c r="L23">
        <v>536</v>
      </c>
      <c r="M23">
        <v>2023</v>
      </c>
    </row>
    <row r="24" spans="1:13" x14ac:dyDescent="0.25">
      <c r="A24" t="s">
        <v>57</v>
      </c>
      <c r="B24" t="s">
        <v>13</v>
      </c>
      <c r="C24" s="1">
        <v>38175</v>
      </c>
      <c r="D24" s="8">
        <f ca="1">ROUND(YEARFRAC(NEET[[#This Row],[Date_of_Birth]],TODAY()),0)</f>
        <v>22</v>
      </c>
      <c r="E24" t="s">
        <v>36</v>
      </c>
      <c r="F24" t="s">
        <v>37</v>
      </c>
      <c r="G24" t="s">
        <v>22</v>
      </c>
      <c r="H24">
        <v>4</v>
      </c>
      <c r="I24">
        <v>116</v>
      </c>
      <c r="J24">
        <v>57</v>
      </c>
      <c r="K24">
        <v>187</v>
      </c>
      <c r="L24">
        <v>360</v>
      </c>
      <c r="M24">
        <v>2026</v>
      </c>
    </row>
    <row r="25" spans="1:13" x14ac:dyDescent="0.25">
      <c r="A25" t="s">
        <v>58</v>
      </c>
      <c r="B25" t="s">
        <v>13</v>
      </c>
      <c r="C25" s="1">
        <v>37277</v>
      </c>
      <c r="D25" s="8">
        <f ca="1">ROUND(YEARFRAC(NEET[[#This Row],[Date_of_Birth]],TODAY()),0)</f>
        <v>24</v>
      </c>
      <c r="E25" t="s">
        <v>24</v>
      </c>
      <c r="F25" t="s">
        <v>15</v>
      </c>
      <c r="G25" t="s">
        <v>16</v>
      </c>
      <c r="H25">
        <v>1</v>
      </c>
      <c r="I25">
        <v>148</v>
      </c>
      <c r="J25">
        <v>93</v>
      </c>
      <c r="K25">
        <v>98</v>
      </c>
      <c r="L25">
        <v>339</v>
      </c>
      <c r="M25">
        <v>2023</v>
      </c>
    </row>
    <row r="26" spans="1:13" x14ac:dyDescent="0.25">
      <c r="A26" t="s">
        <v>59</v>
      </c>
      <c r="B26" t="s">
        <v>20</v>
      </c>
      <c r="C26" s="1">
        <v>36908</v>
      </c>
      <c r="D26" s="8">
        <f ca="1">ROUND(YEARFRAC(NEET[[#This Row],[Date_of_Birth]],TODAY()),0)</f>
        <v>25</v>
      </c>
      <c r="E26" t="s">
        <v>48</v>
      </c>
      <c r="F26" t="s">
        <v>49</v>
      </c>
      <c r="G26" t="s">
        <v>34</v>
      </c>
      <c r="H26">
        <v>2</v>
      </c>
      <c r="I26">
        <v>90</v>
      </c>
      <c r="J26">
        <v>72</v>
      </c>
      <c r="K26">
        <v>268</v>
      </c>
      <c r="L26">
        <v>430</v>
      </c>
      <c r="M26">
        <v>2023</v>
      </c>
    </row>
    <row r="27" spans="1:13" x14ac:dyDescent="0.25">
      <c r="A27" t="s">
        <v>60</v>
      </c>
      <c r="B27" t="s">
        <v>20</v>
      </c>
      <c r="C27" s="1">
        <v>37200</v>
      </c>
      <c r="D27" s="8">
        <f ca="1">ROUND(YEARFRAC(NEET[[#This Row],[Date_of_Birth]],TODAY()),0)</f>
        <v>25</v>
      </c>
      <c r="E27" t="s">
        <v>18</v>
      </c>
      <c r="F27" t="s">
        <v>15</v>
      </c>
      <c r="G27" t="s">
        <v>16</v>
      </c>
      <c r="H27">
        <v>4</v>
      </c>
      <c r="I27">
        <v>30</v>
      </c>
      <c r="J27">
        <v>129</v>
      </c>
      <c r="K27">
        <v>195</v>
      </c>
      <c r="L27">
        <v>354</v>
      </c>
      <c r="M27">
        <v>2026</v>
      </c>
    </row>
    <row r="28" spans="1:13" x14ac:dyDescent="0.25">
      <c r="A28" t="s">
        <v>61</v>
      </c>
      <c r="B28" t="s">
        <v>20</v>
      </c>
      <c r="C28" s="1">
        <v>37160</v>
      </c>
      <c r="D28" s="8">
        <f ca="1">ROUND(YEARFRAC(NEET[[#This Row],[Date_of_Birth]],TODAY()),0)</f>
        <v>25</v>
      </c>
      <c r="E28" t="s">
        <v>62</v>
      </c>
      <c r="F28" t="s">
        <v>15</v>
      </c>
      <c r="G28" t="s">
        <v>25</v>
      </c>
      <c r="H28">
        <v>1</v>
      </c>
      <c r="I28">
        <v>105</v>
      </c>
      <c r="J28">
        <v>85</v>
      </c>
      <c r="K28">
        <v>89</v>
      </c>
      <c r="L28">
        <v>279</v>
      </c>
      <c r="M28">
        <v>2026</v>
      </c>
    </row>
    <row r="29" spans="1:13" x14ac:dyDescent="0.25">
      <c r="A29" t="s">
        <v>63</v>
      </c>
      <c r="B29" t="s">
        <v>13</v>
      </c>
      <c r="C29" s="1">
        <v>38585</v>
      </c>
      <c r="D29" s="8">
        <f ca="1">ROUND(YEARFRAC(NEET[[#This Row],[Date_of_Birth]],TODAY()),0)</f>
        <v>21</v>
      </c>
      <c r="E29" t="s">
        <v>48</v>
      </c>
      <c r="F29" t="s">
        <v>49</v>
      </c>
      <c r="G29" t="s">
        <v>16</v>
      </c>
      <c r="H29">
        <v>1</v>
      </c>
      <c r="I29">
        <v>165</v>
      </c>
      <c r="J29">
        <v>70</v>
      </c>
      <c r="K29">
        <v>89</v>
      </c>
      <c r="L29">
        <v>324</v>
      </c>
      <c r="M29">
        <v>2023</v>
      </c>
    </row>
    <row r="30" spans="1:13" x14ac:dyDescent="0.25">
      <c r="A30" t="s">
        <v>64</v>
      </c>
      <c r="B30" t="s">
        <v>13</v>
      </c>
      <c r="C30" s="1">
        <v>39291</v>
      </c>
      <c r="D30" s="8">
        <f ca="1">ROUND(YEARFRAC(NEET[[#This Row],[Date_of_Birth]],TODAY()),0)</f>
        <v>19</v>
      </c>
      <c r="E30" t="s">
        <v>31</v>
      </c>
      <c r="F30" t="s">
        <v>32</v>
      </c>
      <c r="G30" t="s">
        <v>34</v>
      </c>
      <c r="H30">
        <v>1</v>
      </c>
      <c r="I30">
        <v>90</v>
      </c>
      <c r="J30">
        <v>133</v>
      </c>
      <c r="K30">
        <v>121</v>
      </c>
      <c r="L30">
        <v>344</v>
      </c>
      <c r="M30">
        <v>2025</v>
      </c>
    </row>
    <row r="31" spans="1:13" x14ac:dyDescent="0.25">
      <c r="A31" t="s">
        <v>65</v>
      </c>
      <c r="B31" t="s">
        <v>13</v>
      </c>
      <c r="C31" s="1">
        <v>37594</v>
      </c>
      <c r="D31" s="8">
        <f ca="1">ROUND(YEARFRAC(NEET[[#This Row],[Date_of_Birth]],TODAY()),0)</f>
        <v>23</v>
      </c>
      <c r="E31" t="s">
        <v>62</v>
      </c>
      <c r="F31" t="s">
        <v>15</v>
      </c>
      <c r="G31" t="s">
        <v>34</v>
      </c>
      <c r="H31">
        <v>3</v>
      </c>
      <c r="I31">
        <v>110</v>
      </c>
      <c r="J31">
        <v>91</v>
      </c>
      <c r="K31">
        <v>195</v>
      </c>
      <c r="L31">
        <v>396</v>
      </c>
      <c r="M31">
        <v>2025</v>
      </c>
    </row>
    <row r="32" spans="1:13" x14ac:dyDescent="0.25">
      <c r="A32" t="s">
        <v>66</v>
      </c>
      <c r="B32" t="s">
        <v>13</v>
      </c>
      <c r="C32" s="1">
        <v>39605</v>
      </c>
      <c r="D32" s="8">
        <f ca="1">ROUND(YEARFRAC(NEET[[#This Row],[Date_of_Birth]],TODAY()),0)</f>
        <v>18</v>
      </c>
      <c r="E32" t="s">
        <v>48</v>
      </c>
      <c r="F32" t="s">
        <v>49</v>
      </c>
      <c r="G32" t="s">
        <v>16</v>
      </c>
      <c r="H32">
        <v>2</v>
      </c>
      <c r="I32">
        <v>48</v>
      </c>
      <c r="J32">
        <v>32</v>
      </c>
      <c r="K32">
        <v>294</v>
      </c>
      <c r="L32">
        <v>374</v>
      </c>
      <c r="M32">
        <v>2025</v>
      </c>
    </row>
    <row r="33" spans="1:13" x14ac:dyDescent="0.25">
      <c r="A33" t="s">
        <v>67</v>
      </c>
      <c r="B33" t="s">
        <v>20</v>
      </c>
      <c r="C33" s="1">
        <v>37068</v>
      </c>
      <c r="D33" s="8">
        <f ca="1">ROUND(YEARFRAC(NEET[[#This Row],[Date_of_Birth]],TODAY()),0)</f>
        <v>25</v>
      </c>
      <c r="E33" t="s">
        <v>48</v>
      </c>
      <c r="F33" t="s">
        <v>49</v>
      </c>
      <c r="G33" t="s">
        <v>34</v>
      </c>
      <c r="H33">
        <v>2</v>
      </c>
      <c r="I33">
        <v>119</v>
      </c>
      <c r="J33">
        <v>47</v>
      </c>
      <c r="K33">
        <v>185</v>
      </c>
      <c r="L33">
        <v>351</v>
      </c>
      <c r="M33">
        <v>2025</v>
      </c>
    </row>
    <row r="34" spans="1:13" x14ac:dyDescent="0.25">
      <c r="A34" t="s">
        <v>68</v>
      </c>
      <c r="B34" t="s">
        <v>13</v>
      </c>
      <c r="C34" s="1">
        <v>39031</v>
      </c>
      <c r="D34" s="8">
        <f ca="1">ROUND(YEARFRAC(NEET[[#This Row],[Date_of_Birth]],TODAY()),0)</f>
        <v>20</v>
      </c>
      <c r="E34" t="s">
        <v>69</v>
      </c>
      <c r="F34" t="s">
        <v>70</v>
      </c>
      <c r="G34" t="s">
        <v>29</v>
      </c>
      <c r="H34">
        <v>2</v>
      </c>
      <c r="I34">
        <v>165</v>
      </c>
      <c r="J34">
        <v>32</v>
      </c>
      <c r="K34">
        <v>343</v>
      </c>
      <c r="L34">
        <v>540</v>
      </c>
      <c r="M34">
        <v>2023</v>
      </c>
    </row>
    <row r="35" spans="1:13" x14ac:dyDescent="0.25">
      <c r="A35" t="s">
        <v>71</v>
      </c>
      <c r="B35" t="s">
        <v>13</v>
      </c>
      <c r="C35" s="1">
        <v>36964</v>
      </c>
      <c r="D35" s="8">
        <f ca="1">ROUND(YEARFRAC(NEET[[#This Row],[Date_of_Birth]],TODAY()),0)</f>
        <v>25</v>
      </c>
      <c r="E35" t="s">
        <v>36</v>
      </c>
      <c r="F35" t="s">
        <v>37</v>
      </c>
      <c r="G35" t="s">
        <v>22</v>
      </c>
      <c r="H35">
        <v>3</v>
      </c>
      <c r="I35">
        <v>171</v>
      </c>
      <c r="J35">
        <v>69</v>
      </c>
      <c r="K35">
        <v>199</v>
      </c>
      <c r="L35">
        <v>439</v>
      </c>
      <c r="M35">
        <v>2025</v>
      </c>
    </row>
    <row r="36" spans="1:13" x14ac:dyDescent="0.25">
      <c r="A36" t="s">
        <v>72</v>
      </c>
      <c r="B36" t="s">
        <v>20</v>
      </c>
      <c r="C36" s="1">
        <v>38596</v>
      </c>
      <c r="D36" s="8">
        <f ca="1">ROUND(YEARFRAC(NEET[[#This Row],[Date_of_Birth]],TODAY()),0)</f>
        <v>21</v>
      </c>
      <c r="E36" t="s">
        <v>73</v>
      </c>
      <c r="F36" t="s">
        <v>15</v>
      </c>
      <c r="G36" t="s">
        <v>25</v>
      </c>
      <c r="H36">
        <v>1</v>
      </c>
      <c r="I36">
        <v>94</v>
      </c>
      <c r="J36">
        <v>43</v>
      </c>
      <c r="K36">
        <v>107</v>
      </c>
      <c r="L36">
        <v>244</v>
      </c>
      <c r="M36">
        <v>2025</v>
      </c>
    </row>
    <row r="37" spans="1:13" x14ac:dyDescent="0.25">
      <c r="A37" t="s">
        <v>74</v>
      </c>
      <c r="B37" t="s">
        <v>13</v>
      </c>
      <c r="C37" s="1">
        <v>39684</v>
      </c>
      <c r="D37" s="8">
        <f ca="1">ROUND(YEARFRAC(NEET[[#This Row],[Date_of_Birth]],TODAY()),0)</f>
        <v>18</v>
      </c>
      <c r="E37" t="s">
        <v>40</v>
      </c>
      <c r="F37" t="s">
        <v>15</v>
      </c>
      <c r="G37" t="s">
        <v>25</v>
      </c>
      <c r="H37">
        <v>1</v>
      </c>
      <c r="I37">
        <v>97</v>
      </c>
      <c r="J37">
        <v>71</v>
      </c>
      <c r="K37">
        <v>286</v>
      </c>
      <c r="L37">
        <v>454</v>
      </c>
      <c r="M37">
        <v>2024</v>
      </c>
    </row>
    <row r="38" spans="1:13" x14ac:dyDescent="0.25">
      <c r="A38" t="s">
        <v>75</v>
      </c>
      <c r="B38" t="s">
        <v>20</v>
      </c>
      <c r="C38" s="1">
        <v>38760</v>
      </c>
      <c r="D38" s="8">
        <f ca="1">ROUND(YEARFRAC(NEET[[#This Row],[Date_of_Birth]],TODAY()),0)</f>
        <v>20</v>
      </c>
      <c r="E38" t="s">
        <v>53</v>
      </c>
      <c r="F38" t="s">
        <v>15</v>
      </c>
      <c r="G38" t="s">
        <v>25</v>
      </c>
      <c r="H38">
        <v>2</v>
      </c>
      <c r="I38">
        <v>124</v>
      </c>
      <c r="J38">
        <v>179</v>
      </c>
      <c r="K38">
        <v>342</v>
      </c>
      <c r="L38">
        <v>645</v>
      </c>
      <c r="M38">
        <v>2025</v>
      </c>
    </row>
    <row r="39" spans="1:13" x14ac:dyDescent="0.25">
      <c r="A39" t="s">
        <v>76</v>
      </c>
      <c r="B39" t="s">
        <v>13</v>
      </c>
      <c r="C39" s="1">
        <v>38019</v>
      </c>
      <c r="D39" s="8">
        <f ca="1">ROUND(YEARFRAC(NEET[[#This Row],[Date_of_Birth]],TODAY()),0)</f>
        <v>22</v>
      </c>
      <c r="E39" t="s">
        <v>48</v>
      </c>
      <c r="F39" t="s">
        <v>49</v>
      </c>
      <c r="G39" t="s">
        <v>16</v>
      </c>
      <c r="H39">
        <v>3</v>
      </c>
      <c r="I39">
        <v>40</v>
      </c>
      <c r="J39">
        <v>121</v>
      </c>
      <c r="K39">
        <v>167</v>
      </c>
      <c r="L39">
        <v>328</v>
      </c>
      <c r="M39">
        <v>2026</v>
      </c>
    </row>
    <row r="40" spans="1:13" x14ac:dyDescent="0.25">
      <c r="A40" t="s">
        <v>77</v>
      </c>
      <c r="B40" t="s">
        <v>20</v>
      </c>
      <c r="C40" s="1">
        <v>39068</v>
      </c>
      <c r="D40" s="8">
        <f ca="1">ROUND(YEARFRAC(NEET[[#This Row],[Date_of_Birth]],TODAY()),0)</f>
        <v>19</v>
      </c>
      <c r="E40" t="s">
        <v>36</v>
      </c>
      <c r="F40" t="s">
        <v>37</v>
      </c>
      <c r="G40" t="s">
        <v>22</v>
      </c>
      <c r="H40">
        <v>1</v>
      </c>
      <c r="I40">
        <v>69</v>
      </c>
      <c r="J40">
        <v>90</v>
      </c>
      <c r="K40">
        <v>143</v>
      </c>
      <c r="L40">
        <v>302</v>
      </c>
      <c r="M40">
        <v>2025</v>
      </c>
    </row>
    <row r="41" spans="1:13" x14ac:dyDescent="0.25">
      <c r="A41" t="s">
        <v>78</v>
      </c>
      <c r="B41" t="s">
        <v>13</v>
      </c>
      <c r="C41" s="1">
        <v>39730</v>
      </c>
      <c r="D41" s="8">
        <f ca="1">ROUND(YEARFRAC(NEET[[#This Row],[Date_of_Birth]],TODAY()),0)</f>
        <v>18</v>
      </c>
      <c r="E41" t="s">
        <v>48</v>
      </c>
      <c r="F41" t="s">
        <v>49</v>
      </c>
      <c r="G41" t="s">
        <v>25</v>
      </c>
      <c r="H41">
        <v>4</v>
      </c>
      <c r="I41">
        <v>135</v>
      </c>
      <c r="J41">
        <v>93</v>
      </c>
      <c r="K41">
        <v>196</v>
      </c>
      <c r="L41">
        <v>424</v>
      </c>
      <c r="M41">
        <v>2026</v>
      </c>
    </row>
    <row r="42" spans="1:13" x14ac:dyDescent="0.25">
      <c r="A42" t="s">
        <v>79</v>
      </c>
      <c r="B42" t="s">
        <v>13</v>
      </c>
      <c r="C42" s="1">
        <v>37437</v>
      </c>
      <c r="D42" s="8">
        <f ca="1">ROUND(YEARFRAC(NEET[[#This Row],[Date_of_Birth]],TODAY()),0)</f>
        <v>24</v>
      </c>
      <c r="E42" t="s">
        <v>62</v>
      </c>
      <c r="F42" t="s">
        <v>15</v>
      </c>
      <c r="G42" t="s">
        <v>22</v>
      </c>
      <c r="H42">
        <v>1</v>
      </c>
      <c r="I42">
        <v>147</v>
      </c>
      <c r="J42">
        <v>119</v>
      </c>
      <c r="K42">
        <v>216</v>
      </c>
      <c r="L42">
        <v>482</v>
      </c>
      <c r="M42">
        <v>2026</v>
      </c>
    </row>
    <row r="43" spans="1:13" x14ac:dyDescent="0.25">
      <c r="A43" t="s">
        <v>80</v>
      </c>
      <c r="B43" t="s">
        <v>20</v>
      </c>
      <c r="C43" s="1">
        <v>37870</v>
      </c>
      <c r="D43" s="8">
        <f ca="1">ROUND(YEARFRAC(NEET[[#This Row],[Date_of_Birth]],TODAY()),0)</f>
        <v>23</v>
      </c>
      <c r="E43" t="s">
        <v>24</v>
      </c>
      <c r="F43" t="s">
        <v>15</v>
      </c>
      <c r="G43" t="s">
        <v>25</v>
      </c>
      <c r="H43">
        <v>1</v>
      </c>
      <c r="I43">
        <v>47</v>
      </c>
      <c r="J43">
        <v>101</v>
      </c>
      <c r="K43">
        <v>239</v>
      </c>
      <c r="L43">
        <v>387</v>
      </c>
      <c r="M43">
        <v>2025</v>
      </c>
    </row>
    <row r="44" spans="1:13" x14ac:dyDescent="0.25">
      <c r="A44" t="s">
        <v>81</v>
      </c>
      <c r="B44" t="s">
        <v>20</v>
      </c>
      <c r="C44" s="1">
        <v>37257</v>
      </c>
      <c r="D44" s="8">
        <f ca="1">ROUND(YEARFRAC(NEET[[#This Row],[Date_of_Birth]],TODAY()),0)</f>
        <v>24</v>
      </c>
      <c r="E44" t="s">
        <v>27</v>
      </c>
      <c r="F44" t="s">
        <v>15</v>
      </c>
      <c r="G44" t="s">
        <v>34</v>
      </c>
      <c r="H44">
        <v>3</v>
      </c>
      <c r="I44">
        <v>97</v>
      </c>
      <c r="J44">
        <v>39</v>
      </c>
      <c r="K44">
        <v>115</v>
      </c>
      <c r="L44">
        <v>251</v>
      </c>
      <c r="M44">
        <v>2023</v>
      </c>
    </row>
    <row r="45" spans="1:13" x14ac:dyDescent="0.25">
      <c r="A45" t="s">
        <v>82</v>
      </c>
      <c r="B45" t="s">
        <v>20</v>
      </c>
      <c r="C45" s="1">
        <v>38103</v>
      </c>
      <c r="D45" s="8">
        <f ca="1">ROUND(YEARFRAC(NEET[[#This Row],[Date_of_Birth]],TODAY()),0)</f>
        <v>22</v>
      </c>
      <c r="E45" t="s">
        <v>48</v>
      </c>
      <c r="F45" t="s">
        <v>49</v>
      </c>
      <c r="G45" t="s">
        <v>16</v>
      </c>
      <c r="H45">
        <v>1</v>
      </c>
      <c r="I45">
        <v>177</v>
      </c>
      <c r="J45">
        <v>78</v>
      </c>
      <c r="K45">
        <v>190</v>
      </c>
      <c r="L45">
        <v>445</v>
      </c>
      <c r="M45">
        <v>2024</v>
      </c>
    </row>
    <row r="46" spans="1:13" x14ac:dyDescent="0.25">
      <c r="A46" t="s">
        <v>83</v>
      </c>
      <c r="B46" t="s">
        <v>20</v>
      </c>
      <c r="C46" s="1">
        <v>38017</v>
      </c>
      <c r="D46" s="8">
        <f ca="1">ROUND(YEARFRAC(NEET[[#This Row],[Date_of_Birth]],TODAY()),0)</f>
        <v>22</v>
      </c>
      <c r="E46" t="s">
        <v>18</v>
      </c>
      <c r="F46" t="s">
        <v>15</v>
      </c>
      <c r="G46" t="s">
        <v>34</v>
      </c>
      <c r="H46">
        <v>3</v>
      </c>
      <c r="I46">
        <v>47</v>
      </c>
      <c r="J46">
        <v>114</v>
      </c>
      <c r="K46">
        <v>220</v>
      </c>
      <c r="L46">
        <v>381</v>
      </c>
      <c r="M46">
        <v>2025</v>
      </c>
    </row>
    <row r="47" spans="1:13" x14ac:dyDescent="0.25">
      <c r="A47" t="s">
        <v>84</v>
      </c>
      <c r="B47" t="s">
        <v>20</v>
      </c>
      <c r="C47" s="1">
        <v>38174</v>
      </c>
      <c r="D47" s="8">
        <f ca="1">ROUND(YEARFRAC(NEET[[#This Row],[Date_of_Birth]],TODAY()),0)</f>
        <v>22</v>
      </c>
      <c r="E47" t="s">
        <v>36</v>
      </c>
      <c r="F47" t="s">
        <v>37</v>
      </c>
      <c r="G47" t="s">
        <v>22</v>
      </c>
      <c r="H47">
        <v>4</v>
      </c>
      <c r="I47">
        <v>105</v>
      </c>
      <c r="J47">
        <v>171</v>
      </c>
      <c r="K47">
        <v>125</v>
      </c>
      <c r="L47">
        <v>401</v>
      </c>
      <c r="M47">
        <v>2025</v>
      </c>
    </row>
    <row r="48" spans="1:13" x14ac:dyDescent="0.25">
      <c r="A48" t="s">
        <v>85</v>
      </c>
      <c r="B48" t="s">
        <v>20</v>
      </c>
      <c r="C48" s="1">
        <v>38189</v>
      </c>
      <c r="D48" s="8">
        <f ca="1">ROUND(YEARFRAC(NEET[[#This Row],[Date_of_Birth]],TODAY()),0)</f>
        <v>22</v>
      </c>
      <c r="E48" t="s">
        <v>42</v>
      </c>
      <c r="F48" t="s">
        <v>15</v>
      </c>
      <c r="G48" t="s">
        <v>34</v>
      </c>
      <c r="H48">
        <v>3</v>
      </c>
      <c r="I48">
        <v>30</v>
      </c>
      <c r="J48">
        <v>107</v>
      </c>
      <c r="K48">
        <v>206</v>
      </c>
      <c r="L48">
        <v>343</v>
      </c>
      <c r="M48">
        <v>2026</v>
      </c>
    </row>
    <row r="49" spans="1:13" x14ac:dyDescent="0.25">
      <c r="A49" t="s">
        <v>86</v>
      </c>
      <c r="B49" t="s">
        <v>13</v>
      </c>
      <c r="C49" s="1">
        <v>38337</v>
      </c>
      <c r="D49" s="8">
        <f ca="1">ROUND(YEARFRAC(NEET[[#This Row],[Date_of_Birth]],TODAY()),0)</f>
        <v>21</v>
      </c>
      <c r="E49" t="s">
        <v>21</v>
      </c>
      <c r="F49" t="s">
        <v>21</v>
      </c>
      <c r="G49" t="s">
        <v>16</v>
      </c>
      <c r="H49">
        <v>3</v>
      </c>
      <c r="I49">
        <v>84</v>
      </c>
      <c r="J49">
        <v>160</v>
      </c>
      <c r="K49">
        <v>302</v>
      </c>
      <c r="L49">
        <v>546</v>
      </c>
      <c r="M49">
        <v>2025</v>
      </c>
    </row>
    <row r="50" spans="1:13" x14ac:dyDescent="0.25">
      <c r="A50" t="s">
        <v>87</v>
      </c>
      <c r="B50" t="s">
        <v>13</v>
      </c>
      <c r="C50" s="1">
        <v>36908</v>
      </c>
      <c r="D50" s="8">
        <f ca="1">ROUND(YEARFRAC(NEET[[#This Row],[Date_of_Birth]],TODAY()),0)</f>
        <v>25</v>
      </c>
      <c r="E50" t="s">
        <v>31</v>
      </c>
      <c r="F50" t="s">
        <v>32</v>
      </c>
      <c r="G50" t="s">
        <v>25</v>
      </c>
      <c r="H50">
        <v>1</v>
      </c>
      <c r="I50">
        <v>90</v>
      </c>
      <c r="J50">
        <v>109</v>
      </c>
      <c r="K50">
        <v>175</v>
      </c>
      <c r="L50">
        <v>374</v>
      </c>
      <c r="M50">
        <v>2024</v>
      </c>
    </row>
    <row r="51" spans="1:13" x14ac:dyDescent="0.25">
      <c r="A51" t="s">
        <v>88</v>
      </c>
      <c r="B51" t="s">
        <v>20</v>
      </c>
      <c r="C51" s="1">
        <v>38472</v>
      </c>
      <c r="D51" s="8">
        <f ca="1">ROUND(YEARFRAC(NEET[[#This Row],[Date_of_Birth]],TODAY()),0)</f>
        <v>21</v>
      </c>
      <c r="E51" t="s">
        <v>27</v>
      </c>
      <c r="F51" t="s">
        <v>15</v>
      </c>
      <c r="G51" t="s">
        <v>34</v>
      </c>
      <c r="H51">
        <v>4</v>
      </c>
      <c r="I51">
        <v>48</v>
      </c>
      <c r="J51">
        <v>146</v>
      </c>
      <c r="K51">
        <v>272</v>
      </c>
      <c r="L51">
        <v>466</v>
      </c>
      <c r="M51">
        <v>2024</v>
      </c>
    </row>
    <row r="52" spans="1:13" x14ac:dyDescent="0.25">
      <c r="A52" t="s">
        <v>89</v>
      </c>
      <c r="B52" t="s">
        <v>13</v>
      </c>
      <c r="C52" s="1">
        <v>37130</v>
      </c>
      <c r="D52" s="8">
        <f ca="1">ROUND(YEARFRAC(NEET[[#This Row],[Date_of_Birth]],TODAY()),0)</f>
        <v>25</v>
      </c>
      <c r="E52" t="s">
        <v>21</v>
      </c>
      <c r="F52" t="s">
        <v>21</v>
      </c>
      <c r="G52" t="s">
        <v>25</v>
      </c>
      <c r="H52">
        <v>4</v>
      </c>
      <c r="I52">
        <v>31</v>
      </c>
      <c r="J52">
        <v>57</v>
      </c>
      <c r="K52">
        <v>277</v>
      </c>
      <c r="L52">
        <v>365</v>
      </c>
      <c r="M52">
        <v>2024</v>
      </c>
    </row>
    <row r="53" spans="1:13" x14ac:dyDescent="0.25">
      <c r="A53" t="s">
        <v>90</v>
      </c>
      <c r="B53" t="s">
        <v>20</v>
      </c>
      <c r="C53" s="1">
        <v>37023</v>
      </c>
      <c r="D53" s="8">
        <f ca="1">ROUND(YEARFRAC(NEET[[#This Row],[Date_of_Birth]],TODAY()),0)</f>
        <v>25</v>
      </c>
      <c r="E53" t="s">
        <v>73</v>
      </c>
      <c r="F53" t="s">
        <v>15</v>
      </c>
      <c r="G53" t="s">
        <v>16</v>
      </c>
      <c r="H53">
        <v>4</v>
      </c>
      <c r="I53">
        <v>64</v>
      </c>
      <c r="J53">
        <v>148</v>
      </c>
      <c r="K53">
        <v>331</v>
      </c>
      <c r="L53">
        <v>543</v>
      </c>
      <c r="M53">
        <v>2026</v>
      </c>
    </row>
    <row r="54" spans="1:13" x14ac:dyDescent="0.25">
      <c r="A54" t="s">
        <v>91</v>
      </c>
      <c r="B54" t="s">
        <v>20</v>
      </c>
      <c r="C54" s="1">
        <v>37177</v>
      </c>
      <c r="D54" s="8">
        <f ca="1">ROUND(YEARFRAC(NEET[[#This Row],[Date_of_Birth]],TODAY()),0)</f>
        <v>25</v>
      </c>
      <c r="E54" t="s">
        <v>36</v>
      </c>
      <c r="F54" t="s">
        <v>37</v>
      </c>
      <c r="G54" t="s">
        <v>22</v>
      </c>
      <c r="H54">
        <v>4</v>
      </c>
      <c r="I54">
        <v>151</v>
      </c>
      <c r="J54">
        <v>145</v>
      </c>
      <c r="K54">
        <v>192</v>
      </c>
      <c r="L54">
        <v>488</v>
      </c>
      <c r="M54">
        <v>2025</v>
      </c>
    </row>
    <row r="55" spans="1:13" x14ac:dyDescent="0.25">
      <c r="A55" t="s">
        <v>92</v>
      </c>
      <c r="B55" t="s">
        <v>20</v>
      </c>
      <c r="C55" s="1">
        <v>38327</v>
      </c>
      <c r="D55" s="8">
        <f ca="1">ROUND(YEARFRAC(NEET[[#This Row],[Date_of_Birth]],TODAY()),0)</f>
        <v>21</v>
      </c>
      <c r="E55" t="s">
        <v>14</v>
      </c>
      <c r="F55" t="s">
        <v>15</v>
      </c>
      <c r="G55" t="s">
        <v>22</v>
      </c>
      <c r="H55">
        <v>1</v>
      </c>
      <c r="I55">
        <v>103</v>
      </c>
      <c r="J55">
        <v>90</v>
      </c>
      <c r="K55">
        <v>199</v>
      </c>
      <c r="L55">
        <v>392</v>
      </c>
      <c r="M55">
        <v>2024</v>
      </c>
    </row>
    <row r="56" spans="1:13" x14ac:dyDescent="0.25">
      <c r="A56" t="s">
        <v>93</v>
      </c>
      <c r="B56" t="s">
        <v>20</v>
      </c>
      <c r="C56" s="1">
        <v>37473</v>
      </c>
      <c r="D56" s="8">
        <f ca="1">ROUND(YEARFRAC(NEET[[#This Row],[Date_of_Birth]],TODAY()),0)</f>
        <v>24</v>
      </c>
      <c r="E56" t="s">
        <v>18</v>
      </c>
      <c r="F56" t="s">
        <v>15</v>
      </c>
      <c r="G56" t="s">
        <v>16</v>
      </c>
      <c r="H56">
        <v>3</v>
      </c>
      <c r="I56">
        <v>69</v>
      </c>
      <c r="J56">
        <v>84</v>
      </c>
      <c r="K56">
        <v>92</v>
      </c>
      <c r="L56">
        <v>245</v>
      </c>
      <c r="M56">
        <v>2026</v>
      </c>
    </row>
    <row r="57" spans="1:13" x14ac:dyDescent="0.25">
      <c r="A57" t="s">
        <v>94</v>
      </c>
      <c r="B57" t="s">
        <v>20</v>
      </c>
      <c r="C57" s="1">
        <v>38229</v>
      </c>
      <c r="D57" s="8">
        <f ca="1">ROUND(YEARFRAC(NEET[[#This Row],[Date_of_Birth]],TODAY()),0)</f>
        <v>22</v>
      </c>
      <c r="E57" t="s">
        <v>53</v>
      </c>
      <c r="F57" t="s">
        <v>15</v>
      </c>
      <c r="G57" t="s">
        <v>25</v>
      </c>
      <c r="H57">
        <v>4</v>
      </c>
      <c r="I57">
        <v>82</v>
      </c>
      <c r="J57">
        <v>137</v>
      </c>
      <c r="K57">
        <v>259</v>
      </c>
      <c r="L57">
        <v>478</v>
      </c>
      <c r="M57">
        <v>2025</v>
      </c>
    </row>
    <row r="58" spans="1:13" x14ac:dyDescent="0.25">
      <c r="A58" t="s">
        <v>95</v>
      </c>
      <c r="B58" t="s">
        <v>20</v>
      </c>
      <c r="C58" s="1">
        <v>37749</v>
      </c>
      <c r="D58" s="8">
        <f ca="1">ROUND(YEARFRAC(NEET[[#This Row],[Date_of_Birth]],TODAY()),0)</f>
        <v>23</v>
      </c>
      <c r="E58" t="s">
        <v>69</v>
      </c>
      <c r="F58" t="s">
        <v>70</v>
      </c>
      <c r="G58" t="s">
        <v>29</v>
      </c>
      <c r="H58">
        <v>2</v>
      </c>
      <c r="I58">
        <v>129</v>
      </c>
      <c r="J58">
        <v>137</v>
      </c>
      <c r="K58">
        <v>335</v>
      </c>
      <c r="L58">
        <v>601</v>
      </c>
      <c r="M58">
        <v>2026</v>
      </c>
    </row>
    <row r="59" spans="1:13" x14ac:dyDescent="0.25">
      <c r="A59" t="s">
        <v>96</v>
      </c>
      <c r="B59" t="s">
        <v>20</v>
      </c>
      <c r="C59" s="1">
        <v>38515</v>
      </c>
      <c r="D59" s="8">
        <f ca="1">ROUND(YEARFRAC(NEET[[#This Row],[Date_of_Birth]],TODAY()),0)</f>
        <v>21</v>
      </c>
      <c r="E59" t="s">
        <v>53</v>
      </c>
      <c r="F59" t="s">
        <v>15</v>
      </c>
      <c r="G59" t="s">
        <v>16</v>
      </c>
      <c r="H59">
        <v>2</v>
      </c>
      <c r="I59">
        <v>129</v>
      </c>
      <c r="J59">
        <v>116</v>
      </c>
      <c r="K59">
        <v>267</v>
      </c>
      <c r="L59">
        <v>512</v>
      </c>
      <c r="M59">
        <v>2023</v>
      </c>
    </row>
    <row r="60" spans="1:13" x14ac:dyDescent="0.25">
      <c r="A60" t="s">
        <v>97</v>
      </c>
      <c r="B60" t="s">
        <v>13</v>
      </c>
      <c r="C60" s="1">
        <v>38139</v>
      </c>
      <c r="D60" s="8">
        <f ca="1">ROUND(YEARFRAC(NEET[[#This Row],[Date_of_Birth]],TODAY()),0)</f>
        <v>22</v>
      </c>
      <c r="E60" t="s">
        <v>27</v>
      </c>
      <c r="F60" t="s">
        <v>15</v>
      </c>
      <c r="G60" t="s">
        <v>22</v>
      </c>
      <c r="H60">
        <v>4</v>
      </c>
      <c r="I60">
        <v>174</v>
      </c>
      <c r="J60">
        <v>36</v>
      </c>
      <c r="K60">
        <v>102</v>
      </c>
      <c r="L60">
        <v>312</v>
      </c>
      <c r="M60">
        <v>2023</v>
      </c>
    </row>
    <row r="61" spans="1:13" x14ac:dyDescent="0.25">
      <c r="A61" t="s">
        <v>98</v>
      </c>
      <c r="B61" t="s">
        <v>20</v>
      </c>
      <c r="C61" s="1">
        <v>37591</v>
      </c>
      <c r="D61" s="8">
        <f ca="1">ROUND(YEARFRAC(NEET[[#This Row],[Date_of_Birth]],TODAY()),0)</f>
        <v>23</v>
      </c>
      <c r="E61" t="s">
        <v>18</v>
      </c>
      <c r="F61" t="s">
        <v>15</v>
      </c>
      <c r="G61" t="s">
        <v>29</v>
      </c>
      <c r="H61">
        <v>4</v>
      </c>
      <c r="I61">
        <v>113</v>
      </c>
      <c r="J61">
        <v>84</v>
      </c>
      <c r="K61">
        <v>292</v>
      </c>
      <c r="L61">
        <v>489</v>
      </c>
      <c r="M61">
        <v>2026</v>
      </c>
    </row>
    <row r="62" spans="1:13" x14ac:dyDescent="0.25">
      <c r="A62" t="s">
        <v>99</v>
      </c>
      <c r="B62" t="s">
        <v>20</v>
      </c>
      <c r="C62" s="1">
        <v>37559</v>
      </c>
      <c r="D62" s="8">
        <f ca="1">ROUND(YEARFRAC(NEET[[#This Row],[Date_of_Birth]],TODAY()),0)</f>
        <v>24</v>
      </c>
      <c r="E62" t="s">
        <v>31</v>
      </c>
      <c r="F62" t="s">
        <v>32</v>
      </c>
      <c r="G62" t="s">
        <v>25</v>
      </c>
      <c r="H62">
        <v>2</v>
      </c>
      <c r="I62">
        <v>50</v>
      </c>
      <c r="J62">
        <v>150</v>
      </c>
      <c r="K62">
        <v>69</v>
      </c>
      <c r="L62">
        <v>269</v>
      </c>
      <c r="M62">
        <v>2023</v>
      </c>
    </row>
    <row r="63" spans="1:13" x14ac:dyDescent="0.25">
      <c r="A63" t="s">
        <v>100</v>
      </c>
      <c r="B63" t="s">
        <v>13</v>
      </c>
      <c r="C63" s="1">
        <v>39615</v>
      </c>
      <c r="D63" s="8">
        <f ca="1">ROUND(YEARFRAC(NEET[[#This Row],[Date_of_Birth]],TODAY()),0)</f>
        <v>18</v>
      </c>
      <c r="E63" t="s">
        <v>53</v>
      </c>
      <c r="F63" t="s">
        <v>15</v>
      </c>
      <c r="G63" t="s">
        <v>34</v>
      </c>
      <c r="H63">
        <v>2</v>
      </c>
      <c r="I63">
        <v>93</v>
      </c>
      <c r="J63">
        <v>81</v>
      </c>
      <c r="K63">
        <v>70</v>
      </c>
      <c r="L63">
        <v>244</v>
      </c>
      <c r="M63">
        <v>2023</v>
      </c>
    </row>
    <row r="64" spans="1:13" x14ac:dyDescent="0.25">
      <c r="A64" t="s">
        <v>101</v>
      </c>
      <c r="B64" t="s">
        <v>13</v>
      </c>
      <c r="C64" s="1">
        <v>38836</v>
      </c>
      <c r="D64" s="8">
        <f ca="1">ROUND(YEARFRAC(NEET[[#This Row],[Date_of_Birth]],TODAY()),0)</f>
        <v>20</v>
      </c>
      <c r="E64" t="s">
        <v>62</v>
      </c>
      <c r="F64" t="s">
        <v>15</v>
      </c>
      <c r="G64" t="s">
        <v>29</v>
      </c>
      <c r="H64">
        <v>2</v>
      </c>
      <c r="I64">
        <v>149</v>
      </c>
      <c r="J64">
        <v>95</v>
      </c>
      <c r="K64">
        <v>248</v>
      </c>
      <c r="L64">
        <v>492</v>
      </c>
      <c r="M64">
        <v>2023</v>
      </c>
    </row>
    <row r="65" spans="1:13" x14ac:dyDescent="0.25">
      <c r="A65" t="s">
        <v>102</v>
      </c>
      <c r="B65" t="s">
        <v>13</v>
      </c>
      <c r="C65" s="1">
        <v>38896</v>
      </c>
      <c r="D65" s="8">
        <f ca="1">ROUND(YEARFRAC(NEET[[#This Row],[Date_of_Birth]],TODAY()),0)</f>
        <v>20</v>
      </c>
      <c r="E65" t="s">
        <v>53</v>
      </c>
      <c r="F65" t="s">
        <v>15</v>
      </c>
      <c r="G65" t="s">
        <v>16</v>
      </c>
      <c r="H65">
        <v>1</v>
      </c>
      <c r="I65">
        <v>109</v>
      </c>
      <c r="J65">
        <v>177</v>
      </c>
      <c r="K65">
        <v>252</v>
      </c>
      <c r="L65">
        <v>538</v>
      </c>
      <c r="M65">
        <v>2024</v>
      </c>
    </row>
    <row r="66" spans="1:13" x14ac:dyDescent="0.25">
      <c r="A66" t="s">
        <v>103</v>
      </c>
      <c r="B66" t="s">
        <v>20</v>
      </c>
      <c r="C66" s="1">
        <v>36943</v>
      </c>
      <c r="D66" s="8">
        <f ca="1">ROUND(YEARFRAC(NEET[[#This Row],[Date_of_Birth]],TODAY()),0)</f>
        <v>25</v>
      </c>
      <c r="E66" t="s">
        <v>36</v>
      </c>
      <c r="F66" t="s">
        <v>37</v>
      </c>
      <c r="G66" t="s">
        <v>29</v>
      </c>
      <c r="H66">
        <v>4</v>
      </c>
      <c r="I66">
        <v>107</v>
      </c>
      <c r="J66">
        <v>60</v>
      </c>
      <c r="K66">
        <v>349</v>
      </c>
      <c r="L66">
        <v>516</v>
      </c>
      <c r="M66">
        <v>2023</v>
      </c>
    </row>
    <row r="67" spans="1:13" x14ac:dyDescent="0.25">
      <c r="A67" t="s">
        <v>104</v>
      </c>
      <c r="B67" t="s">
        <v>13</v>
      </c>
      <c r="C67" s="1">
        <v>38598</v>
      </c>
      <c r="D67" s="8">
        <f ca="1">ROUND(YEARFRAC(NEET[[#This Row],[Date_of_Birth]],TODAY()),0)</f>
        <v>21</v>
      </c>
      <c r="E67" t="s">
        <v>21</v>
      </c>
      <c r="F67" t="s">
        <v>21</v>
      </c>
      <c r="G67" t="s">
        <v>29</v>
      </c>
      <c r="H67">
        <v>4</v>
      </c>
      <c r="I67">
        <v>117</v>
      </c>
      <c r="J67">
        <v>33</v>
      </c>
      <c r="K67">
        <v>275</v>
      </c>
      <c r="L67">
        <v>425</v>
      </c>
      <c r="M67">
        <v>2026</v>
      </c>
    </row>
    <row r="68" spans="1:13" x14ac:dyDescent="0.25">
      <c r="A68" t="s">
        <v>105</v>
      </c>
      <c r="B68" t="s">
        <v>20</v>
      </c>
      <c r="C68" s="1">
        <v>39423</v>
      </c>
      <c r="D68" s="8">
        <f ca="1">ROUND(YEARFRAC(NEET[[#This Row],[Date_of_Birth]],TODAY()),0)</f>
        <v>18</v>
      </c>
      <c r="E68" t="s">
        <v>40</v>
      </c>
      <c r="F68" t="s">
        <v>15</v>
      </c>
      <c r="G68" t="s">
        <v>34</v>
      </c>
      <c r="H68">
        <v>4</v>
      </c>
      <c r="I68">
        <v>141</v>
      </c>
      <c r="J68">
        <v>75</v>
      </c>
      <c r="K68">
        <v>327</v>
      </c>
      <c r="L68">
        <v>543</v>
      </c>
      <c r="M68">
        <v>2025</v>
      </c>
    </row>
    <row r="69" spans="1:13" x14ac:dyDescent="0.25">
      <c r="A69" t="s">
        <v>106</v>
      </c>
      <c r="B69" t="s">
        <v>13</v>
      </c>
      <c r="C69" s="1">
        <v>37846</v>
      </c>
      <c r="D69" s="8">
        <f ca="1">ROUND(YEARFRAC(NEET[[#This Row],[Date_of_Birth]],TODAY()),0)</f>
        <v>23</v>
      </c>
      <c r="E69" t="s">
        <v>31</v>
      </c>
      <c r="F69" t="s">
        <v>32</v>
      </c>
      <c r="G69" t="s">
        <v>16</v>
      </c>
      <c r="H69">
        <v>4</v>
      </c>
      <c r="I69">
        <v>92</v>
      </c>
      <c r="J69">
        <v>52</v>
      </c>
      <c r="K69">
        <v>202</v>
      </c>
      <c r="L69">
        <v>346</v>
      </c>
      <c r="M69">
        <v>2026</v>
      </c>
    </row>
    <row r="70" spans="1:13" x14ac:dyDescent="0.25">
      <c r="A70" t="s">
        <v>107</v>
      </c>
      <c r="B70" t="s">
        <v>13</v>
      </c>
      <c r="C70" s="1">
        <v>37903</v>
      </c>
      <c r="D70" s="8">
        <f ca="1">ROUND(YEARFRAC(NEET[[#This Row],[Date_of_Birth]],TODAY()),0)</f>
        <v>23</v>
      </c>
      <c r="E70" t="s">
        <v>53</v>
      </c>
      <c r="F70" t="s">
        <v>15</v>
      </c>
      <c r="G70" t="s">
        <v>29</v>
      </c>
      <c r="H70">
        <v>3</v>
      </c>
      <c r="I70">
        <v>156</v>
      </c>
      <c r="J70">
        <v>113</v>
      </c>
      <c r="K70">
        <v>153</v>
      </c>
      <c r="L70">
        <v>422</v>
      </c>
      <c r="M70">
        <v>2025</v>
      </c>
    </row>
    <row r="71" spans="1:13" x14ac:dyDescent="0.25">
      <c r="A71" t="s">
        <v>108</v>
      </c>
      <c r="B71" t="s">
        <v>13</v>
      </c>
      <c r="C71" s="1">
        <v>37671</v>
      </c>
      <c r="D71" s="8">
        <f ca="1">ROUND(YEARFRAC(NEET[[#This Row],[Date_of_Birth]],TODAY()),0)</f>
        <v>23</v>
      </c>
      <c r="E71" t="s">
        <v>48</v>
      </c>
      <c r="F71" t="s">
        <v>49</v>
      </c>
      <c r="G71" t="s">
        <v>34</v>
      </c>
      <c r="H71">
        <v>2</v>
      </c>
      <c r="I71">
        <v>100</v>
      </c>
      <c r="J71">
        <v>172</v>
      </c>
      <c r="K71">
        <v>65</v>
      </c>
      <c r="L71">
        <v>337</v>
      </c>
      <c r="M71">
        <v>2026</v>
      </c>
    </row>
    <row r="72" spans="1:13" x14ac:dyDescent="0.25">
      <c r="A72" t="s">
        <v>109</v>
      </c>
      <c r="B72" t="s">
        <v>13</v>
      </c>
      <c r="C72" s="1">
        <v>38800</v>
      </c>
      <c r="D72" s="8">
        <f ca="1">ROUND(YEARFRAC(NEET[[#This Row],[Date_of_Birth]],TODAY()),0)</f>
        <v>20</v>
      </c>
      <c r="E72" t="s">
        <v>69</v>
      </c>
      <c r="F72" t="s">
        <v>70</v>
      </c>
      <c r="G72" t="s">
        <v>29</v>
      </c>
      <c r="H72">
        <v>1</v>
      </c>
      <c r="I72">
        <v>91</v>
      </c>
      <c r="J72">
        <v>151</v>
      </c>
      <c r="K72">
        <v>311</v>
      </c>
      <c r="L72">
        <v>553</v>
      </c>
      <c r="M72">
        <v>2024</v>
      </c>
    </row>
    <row r="73" spans="1:13" x14ac:dyDescent="0.25">
      <c r="A73" t="s">
        <v>110</v>
      </c>
      <c r="B73" t="s">
        <v>20</v>
      </c>
      <c r="C73" s="1">
        <v>38182</v>
      </c>
      <c r="D73" s="8">
        <f ca="1">ROUND(YEARFRAC(NEET[[#This Row],[Date_of_Birth]],TODAY()),0)</f>
        <v>22</v>
      </c>
      <c r="E73" t="s">
        <v>36</v>
      </c>
      <c r="F73" t="s">
        <v>37</v>
      </c>
      <c r="G73" t="s">
        <v>34</v>
      </c>
      <c r="H73">
        <v>3</v>
      </c>
      <c r="I73">
        <v>92</v>
      </c>
      <c r="J73">
        <v>108</v>
      </c>
      <c r="K73">
        <v>357</v>
      </c>
      <c r="L73">
        <v>557</v>
      </c>
      <c r="M73">
        <v>2025</v>
      </c>
    </row>
    <row r="74" spans="1:13" x14ac:dyDescent="0.25">
      <c r="A74" t="s">
        <v>111</v>
      </c>
      <c r="B74" t="s">
        <v>13</v>
      </c>
      <c r="C74" s="1">
        <v>37967</v>
      </c>
      <c r="D74" s="8">
        <f ca="1">ROUND(YEARFRAC(NEET[[#This Row],[Date_of_Birth]],TODAY()),0)</f>
        <v>22</v>
      </c>
      <c r="E74" t="s">
        <v>36</v>
      </c>
      <c r="F74" t="s">
        <v>37</v>
      </c>
      <c r="G74" t="s">
        <v>22</v>
      </c>
      <c r="H74">
        <v>1</v>
      </c>
      <c r="I74">
        <v>146</v>
      </c>
      <c r="J74">
        <v>99</v>
      </c>
      <c r="K74">
        <v>216</v>
      </c>
      <c r="L74">
        <v>461</v>
      </c>
      <c r="M74">
        <v>2025</v>
      </c>
    </row>
    <row r="75" spans="1:13" x14ac:dyDescent="0.25">
      <c r="A75" t="s">
        <v>112</v>
      </c>
      <c r="B75" t="s">
        <v>20</v>
      </c>
      <c r="C75" s="1">
        <v>37015</v>
      </c>
      <c r="D75" s="8">
        <f ca="1">ROUND(YEARFRAC(NEET[[#This Row],[Date_of_Birth]],TODAY()),0)</f>
        <v>25</v>
      </c>
      <c r="E75" t="s">
        <v>36</v>
      </c>
      <c r="F75" t="s">
        <v>37</v>
      </c>
      <c r="G75" t="s">
        <v>16</v>
      </c>
      <c r="H75">
        <v>3</v>
      </c>
      <c r="I75">
        <v>167</v>
      </c>
      <c r="J75">
        <v>77</v>
      </c>
      <c r="K75">
        <v>158</v>
      </c>
      <c r="L75">
        <v>402</v>
      </c>
      <c r="M75">
        <v>2025</v>
      </c>
    </row>
    <row r="76" spans="1:13" x14ac:dyDescent="0.25">
      <c r="A76" t="s">
        <v>113</v>
      </c>
      <c r="B76" t="s">
        <v>13</v>
      </c>
      <c r="C76" s="1">
        <v>36937</v>
      </c>
      <c r="D76" s="8">
        <f ca="1">ROUND(YEARFRAC(NEET[[#This Row],[Date_of_Birth]],TODAY()),0)</f>
        <v>25</v>
      </c>
      <c r="E76" t="s">
        <v>31</v>
      </c>
      <c r="F76" t="s">
        <v>32</v>
      </c>
      <c r="G76" t="s">
        <v>25</v>
      </c>
      <c r="H76">
        <v>3</v>
      </c>
      <c r="I76">
        <v>79</v>
      </c>
      <c r="J76">
        <v>105</v>
      </c>
      <c r="K76">
        <v>176</v>
      </c>
      <c r="L76">
        <v>360</v>
      </c>
      <c r="M76">
        <v>2024</v>
      </c>
    </row>
    <row r="77" spans="1:13" x14ac:dyDescent="0.25">
      <c r="A77" t="s">
        <v>114</v>
      </c>
      <c r="B77" t="s">
        <v>20</v>
      </c>
      <c r="C77" s="1">
        <v>37649</v>
      </c>
      <c r="D77" s="8">
        <f ca="1">ROUND(YEARFRAC(NEET[[#This Row],[Date_of_Birth]],TODAY()),0)</f>
        <v>23</v>
      </c>
      <c r="E77" t="s">
        <v>53</v>
      </c>
      <c r="F77" t="s">
        <v>15</v>
      </c>
      <c r="G77" t="s">
        <v>25</v>
      </c>
      <c r="H77">
        <v>1</v>
      </c>
      <c r="I77">
        <v>43</v>
      </c>
      <c r="J77">
        <v>171</v>
      </c>
      <c r="K77">
        <v>209</v>
      </c>
      <c r="L77">
        <v>423</v>
      </c>
      <c r="M77">
        <v>2025</v>
      </c>
    </row>
    <row r="78" spans="1:13" x14ac:dyDescent="0.25">
      <c r="A78" t="s">
        <v>115</v>
      </c>
      <c r="B78" t="s">
        <v>20</v>
      </c>
      <c r="C78" s="1">
        <v>38448</v>
      </c>
      <c r="D78" s="8">
        <f ca="1">ROUND(YEARFRAC(NEET[[#This Row],[Date_of_Birth]],TODAY()),0)</f>
        <v>21</v>
      </c>
      <c r="E78" t="s">
        <v>73</v>
      </c>
      <c r="F78" t="s">
        <v>15</v>
      </c>
      <c r="G78" t="s">
        <v>25</v>
      </c>
      <c r="H78">
        <v>4</v>
      </c>
      <c r="I78">
        <v>142</v>
      </c>
      <c r="J78">
        <v>117</v>
      </c>
      <c r="K78">
        <v>154</v>
      </c>
      <c r="L78">
        <v>413</v>
      </c>
      <c r="M78">
        <v>2023</v>
      </c>
    </row>
    <row r="79" spans="1:13" x14ac:dyDescent="0.25">
      <c r="A79" t="s">
        <v>116</v>
      </c>
      <c r="B79" t="s">
        <v>13</v>
      </c>
      <c r="C79" s="1">
        <v>38167</v>
      </c>
      <c r="D79" s="8">
        <f ca="1">ROUND(YEARFRAC(NEET[[#This Row],[Date_of_Birth]],TODAY()),0)</f>
        <v>22</v>
      </c>
      <c r="E79" t="s">
        <v>73</v>
      </c>
      <c r="F79" t="s">
        <v>15</v>
      </c>
      <c r="G79" t="s">
        <v>25</v>
      </c>
      <c r="H79">
        <v>3</v>
      </c>
      <c r="I79">
        <v>48</v>
      </c>
      <c r="J79">
        <v>177</v>
      </c>
      <c r="K79">
        <v>87</v>
      </c>
      <c r="L79">
        <v>312</v>
      </c>
      <c r="M79">
        <v>2024</v>
      </c>
    </row>
    <row r="80" spans="1:13" x14ac:dyDescent="0.25">
      <c r="A80" t="s">
        <v>117</v>
      </c>
      <c r="B80" t="s">
        <v>20</v>
      </c>
      <c r="C80" s="1">
        <v>37011</v>
      </c>
      <c r="D80" s="8">
        <f ca="1">ROUND(YEARFRAC(NEET[[#This Row],[Date_of_Birth]],TODAY()),0)</f>
        <v>25</v>
      </c>
      <c r="E80" t="s">
        <v>42</v>
      </c>
      <c r="F80" t="s">
        <v>15</v>
      </c>
      <c r="G80" t="s">
        <v>29</v>
      </c>
      <c r="H80">
        <v>4</v>
      </c>
      <c r="I80">
        <v>136</v>
      </c>
      <c r="J80">
        <v>87</v>
      </c>
      <c r="K80">
        <v>327</v>
      </c>
      <c r="L80">
        <v>550</v>
      </c>
      <c r="M80">
        <v>2026</v>
      </c>
    </row>
    <row r="81" spans="1:13" x14ac:dyDescent="0.25">
      <c r="A81" t="s">
        <v>118</v>
      </c>
      <c r="B81" t="s">
        <v>20</v>
      </c>
      <c r="C81" s="1">
        <v>37776</v>
      </c>
      <c r="D81" s="8">
        <f ca="1">ROUND(YEARFRAC(NEET[[#This Row],[Date_of_Birth]],TODAY()),0)</f>
        <v>23</v>
      </c>
      <c r="E81" t="s">
        <v>27</v>
      </c>
      <c r="F81" t="s">
        <v>15</v>
      </c>
      <c r="G81" t="s">
        <v>22</v>
      </c>
      <c r="H81">
        <v>1</v>
      </c>
      <c r="I81">
        <v>45</v>
      </c>
      <c r="J81">
        <v>55</v>
      </c>
      <c r="K81">
        <v>166</v>
      </c>
      <c r="L81">
        <v>266</v>
      </c>
      <c r="M81">
        <v>2024</v>
      </c>
    </row>
    <row r="82" spans="1:13" x14ac:dyDescent="0.25">
      <c r="A82" t="s">
        <v>119</v>
      </c>
      <c r="B82" t="s">
        <v>20</v>
      </c>
      <c r="C82" s="1">
        <v>37237</v>
      </c>
      <c r="D82" s="8">
        <f ca="1">ROUND(YEARFRAC(NEET[[#This Row],[Date_of_Birth]],TODAY()),0)</f>
        <v>24</v>
      </c>
      <c r="E82" t="s">
        <v>42</v>
      </c>
      <c r="F82" t="s">
        <v>15</v>
      </c>
      <c r="G82" t="s">
        <v>29</v>
      </c>
      <c r="H82">
        <v>4</v>
      </c>
      <c r="I82">
        <v>49</v>
      </c>
      <c r="J82">
        <v>70</v>
      </c>
      <c r="K82">
        <v>61</v>
      </c>
      <c r="L82">
        <v>180</v>
      </c>
      <c r="M82">
        <v>2023</v>
      </c>
    </row>
    <row r="83" spans="1:13" x14ac:dyDescent="0.25">
      <c r="A83" t="s">
        <v>120</v>
      </c>
      <c r="B83" t="s">
        <v>20</v>
      </c>
      <c r="C83" s="1">
        <v>37474</v>
      </c>
      <c r="D83" s="8">
        <f ca="1">ROUND(YEARFRAC(NEET[[#This Row],[Date_of_Birth]],TODAY()),0)</f>
        <v>24</v>
      </c>
      <c r="E83" t="s">
        <v>24</v>
      </c>
      <c r="F83" t="s">
        <v>15</v>
      </c>
      <c r="G83" t="s">
        <v>34</v>
      </c>
      <c r="H83">
        <v>2</v>
      </c>
      <c r="I83">
        <v>102</v>
      </c>
      <c r="J83">
        <v>146</v>
      </c>
      <c r="K83">
        <v>96</v>
      </c>
      <c r="L83">
        <v>344</v>
      </c>
      <c r="M83">
        <v>2023</v>
      </c>
    </row>
    <row r="84" spans="1:13" x14ac:dyDescent="0.25">
      <c r="A84" t="s">
        <v>121</v>
      </c>
      <c r="B84" t="s">
        <v>13</v>
      </c>
      <c r="C84" s="1">
        <v>38756</v>
      </c>
      <c r="D84" s="8">
        <f ca="1">ROUND(YEARFRAC(NEET[[#This Row],[Date_of_Birth]],TODAY()),0)</f>
        <v>20</v>
      </c>
      <c r="E84" t="s">
        <v>62</v>
      </c>
      <c r="F84" t="s">
        <v>15</v>
      </c>
      <c r="G84" t="s">
        <v>29</v>
      </c>
      <c r="H84">
        <v>2</v>
      </c>
      <c r="I84">
        <v>68</v>
      </c>
      <c r="J84">
        <v>98</v>
      </c>
      <c r="K84">
        <v>132</v>
      </c>
      <c r="L84">
        <v>298</v>
      </c>
      <c r="M84">
        <v>2025</v>
      </c>
    </row>
    <row r="85" spans="1:13" x14ac:dyDescent="0.25">
      <c r="A85" t="s">
        <v>122</v>
      </c>
      <c r="B85" t="s">
        <v>20</v>
      </c>
      <c r="C85" s="1">
        <v>38324</v>
      </c>
      <c r="D85" s="8">
        <f ca="1">ROUND(YEARFRAC(NEET[[#This Row],[Date_of_Birth]],TODAY()),0)</f>
        <v>21</v>
      </c>
      <c r="E85" t="s">
        <v>14</v>
      </c>
      <c r="F85" t="s">
        <v>15</v>
      </c>
      <c r="G85" t="s">
        <v>25</v>
      </c>
      <c r="H85">
        <v>4</v>
      </c>
      <c r="I85">
        <v>149</v>
      </c>
      <c r="J85">
        <v>107</v>
      </c>
      <c r="K85">
        <v>266</v>
      </c>
      <c r="L85">
        <v>522</v>
      </c>
      <c r="M85">
        <v>2023</v>
      </c>
    </row>
    <row r="86" spans="1:13" x14ac:dyDescent="0.25">
      <c r="A86" t="s">
        <v>123</v>
      </c>
      <c r="B86" t="s">
        <v>13</v>
      </c>
      <c r="C86" s="1">
        <v>38295</v>
      </c>
      <c r="D86" s="8">
        <f ca="1">ROUND(YEARFRAC(NEET[[#This Row],[Date_of_Birth]],TODAY()),0)</f>
        <v>22</v>
      </c>
      <c r="E86" t="s">
        <v>36</v>
      </c>
      <c r="F86" t="s">
        <v>37</v>
      </c>
      <c r="G86" t="s">
        <v>29</v>
      </c>
      <c r="H86">
        <v>1</v>
      </c>
      <c r="I86">
        <v>112</v>
      </c>
      <c r="J86">
        <v>94</v>
      </c>
      <c r="K86">
        <v>73</v>
      </c>
      <c r="L86">
        <v>279</v>
      </c>
      <c r="M86">
        <v>2023</v>
      </c>
    </row>
    <row r="87" spans="1:13" x14ac:dyDescent="0.25">
      <c r="A87" t="s">
        <v>124</v>
      </c>
      <c r="B87" t="s">
        <v>20</v>
      </c>
      <c r="C87" s="1">
        <v>39651</v>
      </c>
      <c r="D87" s="8">
        <f ca="1">ROUND(YEARFRAC(NEET[[#This Row],[Date_of_Birth]],TODAY()),0)</f>
        <v>18</v>
      </c>
      <c r="E87" t="s">
        <v>69</v>
      </c>
      <c r="F87" t="s">
        <v>70</v>
      </c>
      <c r="G87" t="s">
        <v>16</v>
      </c>
      <c r="H87">
        <v>2</v>
      </c>
      <c r="I87">
        <v>74</v>
      </c>
      <c r="J87">
        <v>150</v>
      </c>
      <c r="K87">
        <v>325</v>
      </c>
      <c r="L87">
        <v>549</v>
      </c>
      <c r="M87">
        <v>2026</v>
      </c>
    </row>
    <row r="88" spans="1:13" x14ac:dyDescent="0.25">
      <c r="A88" t="s">
        <v>125</v>
      </c>
      <c r="B88" t="s">
        <v>20</v>
      </c>
      <c r="C88" s="1">
        <v>39126</v>
      </c>
      <c r="D88" s="8">
        <f ca="1">ROUND(YEARFRAC(NEET[[#This Row],[Date_of_Birth]],TODAY()),0)</f>
        <v>19</v>
      </c>
      <c r="E88" t="s">
        <v>31</v>
      </c>
      <c r="F88" t="s">
        <v>32</v>
      </c>
      <c r="G88" t="s">
        <v>29</v>
      </c>
      <c r="H88">
        <v>3</v>
      </c>
      <c r="I88">
        <v>155</v>
      </c>
      <c r="J88">
        <v>53</v>
      </c>
      <c r="K88">
        <v>300</v>
      </c>
      <c r="L88">
        <v>508</v>
      </c>
      <c r="M88">
        <v>2023</v>
      </c>
    </row>
    <row r="89" spans="1:13" x14ac:dyDescent="0.25">
      <c r="A89" t="s">
        <v>126</v>
      </c>
      <c r="B89" t="s">
        <v>13</v>
      </c>
      <c r="C89" s="1">
        <v>37184</v>
      </c>
      <c r="D89" s="8">
        <f ca="1">ROUND(YEARFRAC(NEET[[#This Row],[Date_of_Birth]],TODAY()),0)</f>
        <v>25</v>
      </c>
      <c r="E89" t="s">
        <v>46</v>
      </c>
      <c r="F89" t="s">
        <v>15</v>
      </c>
      <c r="G89" t="s">
        <v>25</v>
      </c>
      <c r="H89">
        <v>4</v>
      </c>
      <c r="I89">
        <v>135</v>
      </c>
      <c r="J89">
        <v>156</v>
      </c>
      <c r="K89">
        <v>207</v>
      </c>
      <c r="L89">
        <v>498</v>
      </c>
      <c r="M89">
        <v>2025</v>
      </c>
    </row>
    <row r="90" spans="1:13" x14ac:dyDescent="0.25">
      <c r="A90" t="s">
        <v>127</v>
      </c>
      <c r="B90" t="s">
        <v>20</v>
      </c>
      <c r="C90" s="1">
        <v>37559</v>
      </c>
      <c r="D90" s="8">
        <f ca="1">ROUND(YEARFRAC(NEET[[#This Row],[Date_of_Birth]],TODAY()),0)</f>
        <v>24</v>
      </c>
      <c r="E90" t="s">
        <v>46</v>
      </c>
      <c r="F90" t="s">
        <v>15</v>
      </c>
      <c r="G90" t="s">
        <v>25</v>
      </c>
      <c r="H90">
        <v>4</v>
      </c>
      <c r="I90">
        <v>59</v>
      </c>
      <c r="J90">
        <v>133</v>
      </c>
      <c r="K90">
        <v>323</v>
      </c>
      <c r="L90">
        <v>515</v>
      </c>
      <c r="M90">
        <v>2024</v>
      </c>
    </row>
    <row r="91" spans="1:13" x14ac:dyDescent="0.25">
      <c r="A91" t="s">
        <v>128</v>
      </c>
      <c r="B91" t="s">
        <v>20</v>
      </c>
      <c r="C91" s="1">
        <v>38649</v>
      </c>
      <c r="D91" s="8">
        <f ca="1">ROUND(YEARFRAC(NEET[[#This Row],[Date_of_Birth]],TODAY()),0)</f>
        <v>21</v>
      </c>
      <c r="E91" t="s">
        <v>46</v>
      </c>
      <c r="F91" t="s">
        <v>15</v>
      </c>
      <c r="G91" t="s">
        <v>29</v>
      </c>
      <c r="H91">
        <v>2</v>
      </c>
      <c r="I91">
        <v>157</v>
      </c>
      <c r="J91">
        <v>143</v>
      </c>
      <c r="K91">
        <v>86</v>
      </c>
      <c r="L91">
        <v>386</v>
      </c>
      <c r="M91">
        <v>2026</v>
      </c>
    </row>
    <row r="92" spans="1:13" x14ac:dyDescent="0.25">
      <c r="A92" t="s">
        <v>129</v>
      </c>
      <c r="B92" t="s">
        <v>20</v>
      </c>
      <c r="C92" s="1">
        <v>39386</v>
      </c>
      <c r="D92" s="8">
        <f ca="1">ROUND(YEARFRAC(NEET[[#This Row],[Date_of_Birth]],TODAY()),0)</f>
        <v>19</v>
      </c>
      <c r="E92" t="s">
        <v>73</v>
      </c>
      <c r="F92" t="s">
        <v>15</v>
      </c>
      <c r="G92" t="s">
        <v>16</v>
      </c>
      <c r="H92">
        <v>1</v>
      </c>
      <c r="I92">
        <v>61</v>
      </c>
      <c r="J92">
        <v>37</v>
      </c>
      <c r="K92">
        <v>182</v>
      </c>
      <c r="L92">
        <v>280</v>
      </c>
      <c r="M92">
        <v>2026</v>
      </c>
    </row>
    <row r="93" spans="1:13" x14ac:dyDescent="0.25">
      <c r="A93" t="s">
        <v>130</v>
      </c>
      <c r="B93" t="s">
        <v>20</v>
      </c>
      <c r="C93" s="1">
        <v>36907</v>
      </c>
      <c r="D93" s="8">
        <f ca="1">ROUND(YEARFRAC(NEET[[#This Row],[Date_of_Birth]],TODAY()),0)</f>
        <v>25</v>
      </c>
      <c r="E93" t="s">
        <v>62</v>
      </c>
      <c r="F93" t="s">
        <v>15</v>
      </c>
      <c r="G93" t="s">
        <v>16</v>
      </c>
      <c r="H93">
        <v>3</v>
      </c>
      <c r="I93">
        <v>59</v>
      </c>
      <c r="J93">
        <v>148</v>
      </c>
      <c r="K93">
        <v>120</v>
      </c>
      <c r="L93">
        <v>327</v>
      </c>
      <c r="M93">
        <v>2025</v>
      </c>
    </row>
    <row r="94" spans="1:13" x14ac:dyDescent="0.25">
      <c r="A94" t="s">
        <v>131</v>
      </c>
      <c r="B94" t="s">
        <v>13</v>
      </c>
      <c r="C94" s="1">
        <v>38227</v>
      </c>
      <c r="D94" s="8">
        <f ca="1">ROUND(YEARFRAC(NEET[[#This Row],[Date_of_Birth]],TODAY()),0)</f>
        <v>22</v>
      </c>
      <c r="E94" t="s">
        <v>31</v>
      </c>
      <c r="F94" t="s">
        <v>32</v>
      </c>
      <c r="G94" t="s">
        <v>22</v>
      </c>
      <c r="H94">
        <v>4</v>
      </c>
      <c r="I94">
        <v>153</v>
      </c>
      <c r="J94">
        <v>150</v>
      </c>
      <c r="K94">
        <v>184</v>
      </c>
      <c r="L94">
        <v>487</v>
      </c>
      <c r="M94">
        <v>2024</v>
      </c>
    </row>
    <row r="95" spans="1:13" x14ac:dyDescent="0.25">
      <c r="A95" t="s">
        <v>132</v>
      </c>
      <c r="B95" t="s">
        <v>13</v>
      </c>
      <c r="C95" s="1">
        <v>36811</v>
      </c>
      <c r="D95" s="8">
        <f ca="1">ROUND(YEARFRAC(NEET[[#This Row],[Date_of_Birth]],TODAY()),0)</f>
        <v>26</v>
      </c>
      <c r="E95" t="s">
        <v>24</v>
      </c>
      <c r="F95" t="s">
        <v>15</v>
      </c>
      <c r="G95" t="s">
        <v>29</v>
      </c>
      <c r="H95">
        <v>3</v>
      </c>
      <c r="I95">
        <v>136</v>
      </c>
      <c r="J95">
        <v>117</v>
      </c>
      <c r="K95">
        <v>319</v>
      </c>
      <c r="L95">
        <v>572</v>
      </c>
      <c r="M95">
        <v>2026</v>
      </c>
    </row>
    <row r="96" spans="1:13" x14ac:dyDescent="0.25">
      <c r="A96" t="s">
        <v>133</v>
      </c>
      <c r="B96" t="s">
        <v>20</v>
      </c>
      <c r="C96" s="1">
        <v>37134</v>
      </c>
      <c r="D96" s="8">
        <f ca="1">ROUND(YEARFRAC(NEET[[#This Row],[Date_of_Birth]],TODAY()),0)</f>
        <v>25</v>
      </c>
      <c r="E96" t="s">
        <v>73</v>
      </c>
      <c r="F96" t="s">
        <v>15</v>
      </c>
      <c r="G96" t="s">
        <v>29</v>
      </c>
      <c r="H96">
        <v>4</v>
      </c>
      <c r="I96">
        <v>167</v>
      </c>
      <c r="J96">
        <v>153</v>
      </c>
      <c r="K96">
        <v>236</v>
      </c>
      <c r="L96">
        <v>556</v>
      </c>
      <c r="M96">
        <v>2024</v>
      </c>
    </row>
    <row r="97" spans="1:13" x14ac:dyDescent="0.25">
      <c r="A97" t="s">
        <v>134</v>
      </c>
      <c r="B97" t="s">
        <v>13</v>
      </c>
      <c r="C97" s="1">
        <v>39382</v>
      </c>
      <c r="D97" s="8">
        <f ca="1">ROUND(YEARFRAC(NEET[[#This Row],[Date_of_Birth]],TODAY()),0)</f>
        <v>19</v>
      </c>
      <c r="E97" t="s">
        <v>62</v>
      </c>
      <c r="F97" t="s">
        <v>15</v>
      </c>
      <c r="G97" t="s">
        <v>34</v>
      </c>
      <c r="H97">
        <v>3</v>
      </c>
      <c r="I97">
        <v>176</v>
      </c>
      <c r="J97">
        <v>128</v>
      </c>
      <c r="K97">
        <v>179</v>
      </c>
      <c r="L97">
        <v>483</v>
      </c>
      <c r="M97">
        <v>2026</v>
      </c>
    </row>
    <row r="98" spans="1:13" x14ac:dyDescent="0.25">
      <c r="A98" t="s">
        <v>135</v>
      </c>
      <c r="B98" t="s">
        <v>20</v>
      </c>
      <c r="C98" s="1">
        <v>38107</v>
      </c>
      <c r="D98" s="8">
        <f ca="1">ROUND(YEARFRAC(NEET[[#This Row],[Date_of_Birth]],TODAY()),0)</f>
        <v>22</v>
      </c>
      <c r="E98" t="s">
        <v>21</v>
      </c>
      <c r="F98" t="s">
        <v>21</v>
      </c>
      <c r="G98" t="s">
        <v>34</v>
      </c>
      <c r="H98">
        <v>1</v>
      </c>
      <c r="I98">
        <v>68</v>
      </c>
      <c r="J98">
        <v>156</v>
      </c>
      <c r="K98">
        <v>78</v>
      </c>
      <c r="L98">
        <v>302</v>
      </c>
      <c r="M98">
        <v>2023</v>
      </c>
    </row>
    <row r="99" spans="1:13" x14ac:dyDescent="0.25">
      <c r="A99" t="s">
        <v>136</v>
      </c>
      <c r="B99" t="s">
        <v>13</v>
      </c>
      <c r="C99" s="1">
        <v>38680</v>
      </c>
      <c r="D99" s="8">
        <f ca="1">ROUND(YEARFRAC(NEET[[#This Row],[Date_of_Birth]],TODAY()),0)</f>
        <v>20</v>
      </c>
      <c r="E99" t="s">
        <v>48</v>
      </c>
      <c r="F99" t="s">
        <v>49</v>
      </c>
      <c r="G99" t="s">
        <v>34</v>
      </c>
      <c r="H99">
        <v>1</v>
      </c>
      <c r="I99">
        <v>146</v>
      </c>
      <c r="J99">
        <v>33</v>
      </c>
      <c r="K99">
        <v>133</v>
      </c>
      <c r="L99">
        <v>312</v>
      </c>
      <c r="M99">
        <v>2025</v>
      </c>
    </row>
    <row r="100" spans="1:13" x14ac:dyDescent="0.25">
      <c r="A100" t="s">
        <v>137</v>
      </c>
      <c r="B100" t="s">
        <v>20</v>
      </c>
      <c r="C100" s="1">
        <v>37912</v>
      </c>
      <c r="D100" s="8">
        <f ca="1">ROUND(YEARFRAC(NEET[[#This Row],[Date_of_Birth]],TODAY()),0)</f>
        <v>23</v>
      </c>
      <c r="E100" t="s">
        <v>27</v>
      </c>
      <c r="F100" t="s">
        <v>15</v>
      </c>
      <c r="G100" t="s">
        <v>16</v>
      </c>
      <c r="H100">
        <v>4</v>
      </c>
      <c r="I100">
        <v>131</v>
      </c>
      <c r="J100">
        <v>50</v>
      </c>
      <c r="K100">
        <v>228</v>
      </c>
      <c r="L100">
        <v>409</v>
      </c>
      <c r="M100">
        <v>2023</v>
      </c>
    </row>
    <row r="101" spans="1:13" x14ac:dyDescent="0.25">
      <c r="A101" t="s">
        <v>138</v>
      </c>
      <c r="B101" t="s">
        <v>20</v>
      </c>
      <c r="C101" s="1">
        <v>39055</v>
      </c>
      <c r="D101" s="8">
        <f ca="1">ROUND(YEARFRAC(NEET[[#This Row],[Date_of_Birth]],TODAY()),0)</f>
        <v>19</v>
      </c>
      <c r="E101" t="s">
        <v>14</v>
      </c>
      <c r="F101" t="s">
        <v>15</v>
      </c>
      <c r="G101" t="s">
        <v>25</v>
      </c>
      <c r="H101">
        <v>1</v>
      </c>
      <c r="I101">
        <v>90</v>
      </c>
      <c r="J101">
        <v>103</v>
      </c>
      <c r="K101">
        <v>176</v>
      </c>
      <c r="L101">
        <v>369</v>
      </c>
      <c r="M101">
        <v>2026</v>
      </c>
    </row>
    <row r="102" spans="1:13" x14ac:dyDescent="0.25">
      <c r="A102" t="s">
        <v>139</v>
      </c>
      <c r="B102" t="s">
        <v>13</v>
      </c>
      <c r="C102" s="1">
        <v>37207</v>
      </c>
      <c r="D102" s="8">
        <f ca="1">ROUND(YEARFRAC(NEET[[#This Row],[Date_of_Birth]],TODAY()),0)</f>
        <v>25</v>
      </c>
      <c r="E102" t="s">
        <v>36</v>
      </c>
      <c r="F102" t="s">
        <v>37</v>
      </c>
      <c r="G102" t="s">
        <v>29</v>
      </c>
      <c r="H102">
        <v>3</v>
      </c>
      <c r="I102">
        <v>106</v>
      </c>
      <c r="J102">
        <v>37</v>
      </c>
      <c r="K102">
        <v>83</v>
      </c>
      <c r="L102">
        <v>226</v>
      </c>
      <c r="M102">
        <v>2025</v>
      </c>
    </row>
    <row r="103" spans="1:13" x14ac:dyDescent="0.25">
      <c r="A103" t="s">
        <v>140</v>
      </c>
      <c r="B103" t="s">
        <v>13</v>
      </c>
      <c r="C103" s="1">
        <v>38290</v>
      </c>
      <c r="D103" s="8">
        <f ca="1">ROUND(YEARFRAC(NEET[[#This Row],[Date_of_Birth]],TODAY()),0)</f>
        <v>22</v>
      </c>
      <c r="E103" t="s">
        <v>40</v>
      </c>
      <c r="F103" t="s">
        <v>15</v>
      </c>
      <c r="G103" t="s">
        <v>25</v>
      </c>
      <c r="H103">
        <v>2</v>
      </c>
      <c r="I103">
        <v>92</v>
      </c>
      <c r="J103">
        <v>165</v>
      </c>
      <c r="K103">
        <v>270</v>
      </c>
      <c r="L103">
        <v>527</v>
      </c>
      <c r="M103">
        <v>2026</v>
      </c>
    </row>
    <row r="104" spans="1:13" x14ac:dyDescent="0.25">
      <c r="A104" t="s">
        <v>141</v>
      </c>
      <c r="B104" t="s">
        <v>13</v>
      </c>
      <c r="C104" s="1">
        <v>39064</v>
      </c>
      <c r="D104" s="8">
        <f ca="1">ROUND(YEARFRAC(NEET[[#This Row],[Date_of_Birth]],TODAY()),0)</f>
        <v>19</v>
      </c>
      <c r="E104" t="s">
        <v>21</v>
      </c>
      <c r="F104" t="s">
        <v>21</v>
      </c>
      <c r="G104" t="s">
        <v>29</v>
      </c>
      <c r="H104">
        <v>4</v>
      </c>
      <c r="I104">
        <v>91</v>
      </c>
      <c r="J104">
        <v>157</v>
      </c>
      <c r="K104">
        <v>358</v>
      </c>
      <c r="L104">
        <v>606</v>
      </c>
      <c r="M104">
        <v>2026</v>
      </c>
    </row>
    <row r="105" spans="1:13" x14ac:dyDescent="0.25">
      <c r="A105" t="s">
        <v>142</v>
      </c>
      <c r="B105" t="s">
        <v>13</v>
      </c>
      <c r="C105" s="1">
        <v>37571</v>
      </c>
      <c r="D105" s="8">
        <f ca="1">ROUND(YEARFRAC(NEET[[#This Row],[Date_of_Birth]],TODAY()),0)</f>
        <v>24</v>
      </c>
      <c r="E105" t="s">
        <v>21</v>
      </c>
      <c r="F105" t="s">
        <v>21</v>
      </c>
      <c r="G105" t="s">
        <v>29</v>
      </c>
      <c r="H105">
        <v>4</v>
      </c>
      <c r="I105">
        <v>32</v>
      </c>
      <c r="J105">
        <v>149</v>
      </c>
      <c r="K105">
        <v>207</v>
      </c>
      <c r="L105">
        <v>388</v>
      </c>
      <c r="M105">
        <v>2025</v>
      </c>
    </row>
    <row r="106" spans="1:13" x14ac:dyDescent="0.25">
      <c r="A106" t="s">
        <v>143</v>
      </c>
      <c r="B106" t="s">
        <v>20</v>
      </c>
      <c r="C106" s="1">
        <v>39143</v>
      </c>
      <c r="D106" s="8">
        <f ca="1">ROUND(YEARFRAC(NEET[[#This Row],[Date_of_Birth]],TODAY()),0)</f>
        <v>19</v>
      </c>
      <c r="E106" t="s">
        <v>18</v>
      </c>
      <c r="F106" t="s">
        <v>15</v>
      </c>
      <c r="G106" t="s">
        <v>25</v>
      </c>
      <c r="H106">
        <v>4</v>
      </c>
      <c r="I106">
        <v>94</v>
      </c>
      <c r="J106">
        <v>146</v>
      </c>
      <c r="K106">
        <v>214</v>
      </c>
      <c r="L106">
        <v>454</v>
      </c>
      <c r="M106">
        <v>2024</v>
      </c>
    </row>
    <row r="107" spans="1:13" x14ac:dyDescent="0.25">
      <c r="A107" t="s">
        <v>144</v>
      </c>
      <c r="B107" t="s">
        <v>13</v>
      </c>
      <c r="C107" s="1">
        <v>38088</v>
      </c>
      <c r="D107" s="8">
        <f ca="1">ROUND(YEARFRAC(NEET[[#This Row],[Date_of_Birth]],TODAY()),0)</f>
        <v>22</v>
      </c>
      <c r="E107" t="s">
        <v>27</v>
      </c>
      <c r="F107" t="s">
        <v>15</v>
      </c>
      <c r="G107" t="s">
        <v>29</v>
      </c>
      <c r="H107">
        <v>4</v>
      </c>
      <c r="I107">
        <v>121</v>
      </c>
      <c r="J107">
        <v>177</v>
      </c>
      <c r="K107">
        <v>211</v>
      </c>
      <c r="L107">
        <v>509</v>
      </c>
      <c r="M107">
        <v>2023</v>
      </c>
    </row>
    <row r="108" spans="1:13" x14ac:dyDescent="0.25">
      <c r="A108" t="s">
        <v>145</v>
      </c>
      <c r="B108" t="s">
        <v>20</v>
      </c>
      <c r="C108" s="1">
        <v>38844</v>
      </c>
      <c r="D108" s="8">
        <f ca="1">ROUND(YEARFRAC(NEET[[#This Row],[Date_of_Birth]],TODAY()),0)</f>
        <v>20</v>
      </c>
      <c r="E108" t="s">
        <v>31</v>
      </c>
      <c r="F108" t="s">
        <v>32</v>
      </c>
      <c r="G108" t="s">
        <v>22</v>
      </c>
      <c r="H108">
        <v>2</v>
      </c>
      <c r="I108">
        <v>42</v>
      </c>
      <c r="J108">
        <v>157</v>
      </c>
      <c r="K108">
        <v>206</v>
      </c>
      <c r="L108">
        <v>405</v>
      </c>
      <c r="M108">
        <v>2025</v>
      </c>
    </row>
    <row r="109" spans="1:13" x14ac:dyDescent="0.25">
      <c r="A109" t="s">
        <v>146</v>
      </c>
      <c r="B109" t="s">
        <v>20</v>
      </c>
      <c r="C109" s="1">
        <v>39302</v>
      </c>
      <c r="D109" s="8">
        <f ca="1">ROUND(YEARFRAC(NEET[[#This Row],[Date_of_Birth]],TODAY()),0)</f>
        <v>19</v>
      </c>
      <c r="E109" t="s">
        <v>69</v>
      </c>
      <c r="F109" t="s">
        <v>70</v>
      </c>
      <c r="G109" t="s">
        <v>16</v>
      </c>
      <c r="H109">
        <v>1</v>
      </c>
      <c r="I109">
        <v>65</v>
      </c>
      <c r="J109">
        <v>54</v>
      </c>
      <c r="K109">
        <v>80</v>
      </c>
      <c r="L109">
        <v>199</v>
      </c>
      <c r="M109">
        <v>2025</v>
      </c>
    </row>
    <row r="110" spans="1:13" x14ac:dyDescent="0.25">
      <c r="A110" t="s">
        <v>147</v>
      </c>
      <c r="B110" t="s">
        <v>13</v>
      </c>
      <c r="C110" s="1">
        <v>39525</v>
      </c>
      <c r="D110" s="8">
        <f ca="1">ROUND(YEARFRAC(NEET[[#This Row],[Date_of_Birth]],TODAY()),0)</f>
        <v>18</v>
      </c>
      <c r="E110" t="s">
        <v>40</v>
      </c>
      <c r="F110" t="s">
        <v>15</v>
      </c>
      <c r="G110" t="s">
        <v>22</v>
      </c>
      <c r="H110">
        <v>2</v>
      </c>
      <c r="I110">
        <v>53</v>
      </c>
      <c r="J110">
        <v>105</v>
      </c>
      <c r="K110">
        <v>227</v>
      </c>
      <c r="L110">
        <v>385</v>
      </c>
      <c r="M110">
        <v>2025</v>
      </c>
    </row>
    <row r="111" spans="1:13" x14ac:dyDescent="0.25">
      <c r="A111" t="s">
        <v>148</v>
      </c>
      <c r="B111" t="s">
        <v>20</v>
      </c>
      <c r="C111" s="1">
        <v>38700</v>
      </c>
      <c r="D111" s="8">
        <f ca="1">ROUND(YEARFRAC(NEET[[#This Row],[Date_of_Birth]],TODAY()),0)</f>
        <v>20</v>
      </c>
      <c r="E111" t="s">
        <v>42</v>
      </c>
      <c r="F111" t="s">
        <v>15</v>
      </c>
      <c r="G111" t="s">
        <v>25</v>
      </c>
      <c r="H111">
        <v>3</v>
      </c>
      <c r="I111">
        <v>99</v>
      </c>
      <c r="J111">
        <v>72</v>
      </c>
      <c r="K111">
        <v>191</v>
      </c>
      <c r="L111">
        <v>362</v>
      </c>
      <c r="M111">
        <v>2026</v>
      </c>
    </row>
    <row r="112" spans="1:13" x14ac:dyDescent="0.25">
      <c r="A112" t="s">
        <v>149</v>
      </c>
      <c r="B112" t="s">
        <v>13</v>
      </c>
      <c r="C112" s="1">
        <v>36834</v>
      </c>
      <c r="D112" s="8">
        <f ca="1">ROUND(YEARFRAC(NEET[[#This Row],[Date_of_Birth]],TODAY()),0)</f>
        <v>26</v>
      </c>
      <c r="E112" t="s">
        <v>40</v>
      </c>
      <c r="F112" t="s">
        <v>15</v>
      </c>
      <c r="G112" t="s">
        <v>25</v>
      </c>
      <c r="H112">
        <v>4</v>
      </c>
      <c r="I112">
        <v>87</v>
      </c>
      <c r="J112">
        <v>131</v>
      </c>
      <c r="K112">
        <v>345</v>
      </c>
      <c r="L112">
        <v>563</v>
      </c>
      <c r="M112">
        <v>2025</v>
      </c>
    </row>
    <row r="113" spans="1:13" x14ac:dyDescent="0.25">
      <c r="A113" t="s">
        <v>150</v>
      </c>
      <c r="B113" t="s">
        <v>20</v>
      </c>
      <c r="C113" s="1">
        <v>38723</v>
      </c>
      <c r="D113" s="8">
        <f ca="1">ROUND(YEARFRAC(NEET[[#This Row],[Date_of_Birth]],TODAY()),0)</f>
        <v>20</v>
      </c>
      <c r="E113" t="s">
        <v>14</v>
      </c>
      <c r="F113" t="s">
        <v>15</v>
      </c>
      <c r="G113" t="s">
        <v>22</v>
      </c>
      <c r="H113">
        <v>1</v>
      </c>
      <c r="I113">
        <v>146</v>
      </c>
      <c r="J113">
        <v>124</v>
      </c>
      <c r="K113">
        <v>194</v>
      </c>
      <c r="L113">
        <v>464</v>
      </c>
      <c r="M113">
        <v>2026</v>
      </c>
    </row>
    <row r="114" spans="1:13" x14ac:dyDescent="0.25">
      <c r="A114" t="s">
        <v>151</v>
      </c>
      <c r="B114" t="s">
        <v>20</v>
      </c>
      <c r="C114" s="1">
        <v>36628</v>
      </c>
      <c r="D114" s="8">
        <f ca="1">ROUND(YEARFRAC(NEET[[#This Row],[Date_of_Birth]],TODAY()),0)</f>
        <v>26</v>
      </c>
      <c r="E114" t="s">
        <v>27</v>
      </c>
      <c r="F114" t="s">
        <v>15</v>
      </c>
      <c r="G114" t="s">
        <v>34</v>
      </c>
      <c r="H114">
        <v>3</v>
      </c>
      <c r="I114">
        <v>173</v>
      </c>
      <c r="J114">
        <v>113</v>
      </c>
      <c r="K114">
        <v>173</v>
      </c>
      <c r="L114">
        <v>459</v>
      </c>
      <c r="M114">
        <v>2023</v>
      </c>
    </row>
    <row r="115" spans="1:13" x14ac:dyDescent="0.25">
      <c r="A115" t="s">
        <v>152</v>
      </c>
      <c r="B115" t="s">
        <v>13</v>
      </c>
      <c r="C115" s="1">
        <v>37098</v>
      </c>
      <c r="D115" s="8">
        <f ca="1">ROUND(YEARFRAC(NEET[[#This Row],[Date_of_Birth]],TODAY()),0)</f>
        <v>25</v>
      </c>
      <c r="E115" t="s">
        <v>53</v>
      </c>
      <c r="F115" t="s">
        <v>15</v>
      </c>
      <c r="G115" t="s">
        <v>16</v>
      </c>
      <c r="H115">
        <v>2</v>
      </c>
      <c r="I115">
        <v>39</v>
      </c>
      <c r="J115">
        <v>107</v>
      </c>
      <c r="K115">
        <v>312</v>
      </c>
      <c r="L115">
        <v>458</v>
      </c>
      <c r="M115">
        <v>2024</v>
      </c>
    </row>
    <row r="116" spans="1:13" x14ac:dyDescent="0.25">
      <c r="A116" t="s">
        <v>153</v>
      </c>
      <c r="B116" t="s">
        <v>20</v>
      </c>
      <c r="C116" s="1">
        <v>38117</v>
      </c>
      <c r="D116" s="8">
        <f ca="1">ROUND(YEARFRAC(NEET[[#This Row],[Date_of_Birth]],TODAY()),0)</f>
        <v>22</v>
      </c>
      <c r="E116" t="s">
        <v>73</v>
      </c>
      <c r="F116" t="s">
        <v>15</v>
      </c>
      <c r="G116" t="s">
        <v>34</v>
      </c>
      <c r="H116">
        <v>1</v>
      </c>
      <c r="I116">
        <v>124</v>
      </c>
      <c r="J116">
        <v>168</v>
      </c>
      <c r="K116">
        <v>274</v>
      </c>
      <c r="L116">
        <v>566</v>
      </c>
      <c r="M116">
        <v>2026</v>
      </c>
    </row>
    <row r="117" spans="1:13" x14ac:dyDescent="0.25">
      <c r="A117" t="s">
        <v>154</v>
      </c>
      <c r="B117" t="s">
        <v>13</v>
      </c>
      <c r="C117" s="1">
        <v>37671</v>
      </c>
      <c r="D117" s="8">
        <f ca="1">ROUND(YEARFRAC(NEET[[#This Row],[Date_of_Birth]],TODAY()),0)</f>
        <v>23</v>
      </c>
      <c r="E117" t="s">
        <v>53</v>
      </c>
      <c r="F117" t="s">
        <v>15</v>
      </c>
      <c r="G117" t="s">
        <v>25</v>
      </c>
      <c r="H117">
        <v>3</v>
      </c>
      <c r="I117">
        <v>124</v>
      </c>
      <c r="J117">
        <v>85</v>
      </c>
      <c r="K117">
        <v>287</v>
      </c>
      <c r="L117">
        <v>496</v>
      </c>
      <c r="M117">
        <v>2025</v>
      </c>
    </row>
    <row r="118" spans="1:13" x14ac:dyDescent="0.25">
      <c r="A118" t="s">
        <v>155</v>
      </c>
      <c r="B118" t="s">
        <v>13</v>
      </c>
      <c r="C118" s="1">
        <v>38756</v>
      </c>
      <c r="D118" s="8">
        <f ca="1">ROUND(YEARFRAC(NEET[[#This Row],[Date_of_Birth]],TODAY()),0)</f>
        <v>20</v>
      </c>
      <c r="E118" t="s">
        <v>48</v>
      </c>
      <c r="F118" t="s">
        <v>49</v>
      </c>
      <c r="G118" t="s">
        <v>34</v>
      </c>
      <c r="H118">
        <v>1</v>
      </c>
      <c r="I118">
        <v>121</v>
      </c>
      <c r="J118">
        <v>45</v>
      </c>
      <c r="K118">
        <v>263</v>
      </c>
      <c r="L118">
        <v>429</v>
      </c>
      <c r="M118">
        <v>2023</v>
      </c>
    </row>
    <row r="119" spans="1:13" x14ac:dyDescent="0.25">
      <c r="A119" t="s">
        <v>156</v>
      </c>
      <c r="B119" t="s">
        <v>13</v>
      </c>
      <c r="C119" s="1">
        <v>39240</v>
      </c>
      <c r="D119" s="8">
        <f ca="1">ROUND(YEARFRAC(NEET[[#This Row],[Date_of_Birth]],TODAY()),0)</f>
        <v>19</v>
      </c>
      <c r="E119" t="s">
        <v>62</v>
      </c>
      <c r="F119" t="s">
        <v>15</v>
      </c>
      <c r="G119" t="s">
        <v>25</v>
      </c>
      <c r="H119">
        <v>2</v>
      </c>
      <c r="I119">
        <v>35</v>
      </c>
      <c r="J119">
        <v>42</v>
      </c>
      <c r="K119">
        <v>230</v>
      </c>
      <c r="L119">
        <v>307</v>
      </c>
      <c r="M119">
        <v>2024</v>
      </c>
    </row>
    <row r="120" spans="1:13" x14ac:dyDescent="0.25">
      <c r="A120" t="s">
        <v>157</v>
      </c>
      <c r="B120" t="s">
        <v>20</v>
      </c>
      <c r="C120" s="1">
        <v>38927</v>
      </c>
      <c r="D120" s="8">
        <f ca="1">ROUND(YEARFRAC(NEET[[#This Row],[Date_of_Birth]],TODAY()),0)</f>
        <v>20</v>
      </c>
      <c r="E120" t="s">
        <v>62</v>
      </c>
      <c r="F120" t="s">
        <v>15</v>
      </c>
      <c r="G120" t="s">
        <v>22</v>
      </c>
      <c r="H120">
        <v>2</v>
      </c>
      <c r="I120">
        <v>89</v>
      </c>
      <c r="J120">
        <v>114</v>
      </c>
      <c r="K120">
        <v>135</v>
      </c>
      <c r="L120">
        <v>338</v>
      </c>
      <c r="M120">
        <v>2025</v>
      </c>
    </row>
    <row r="121" spans="1:13" x14ac:dyDescent="0.25">
      <c r="A121" t="s">
        <v>158</v>
      </c>
      <c r="B121" t="s">
        <v>20</v>
      </c>
      <c r="C121" s="1">
        <v>39796</v>
      </c>
      <c r="D121" s="8">
        <f ca="1">ROUND(YEARFRAC(NEET[[#This Row],[Date_of_Birth]],TODAY()),0)</f>
        <v>17</v>
      </c>
      <c r="E121" t="s">
        <v>40</v>
      </c>
      <c r="F121" t="s">
        <v>15</v>
      </c>
      <c r="G121" t="s">
        <v>16</v>
      </c>
      <c r="H121">
        <v>2</v>
      </c>
      <c r="I121">
        <v>58</v>
      </c>
      <c r="J121">
        <v>36</v>
      </c>
      <c r="K121">
        <v>127</v>
      </c>
      <c r="L121">
        <v>221</v>
      </c>
      <c r="M121">
        <v>2025</v>
      </c>
    </row>
    <row r="122" spans="1:13" x14ac:dyDescent="0.25">
      <c r="A122" t="s">
        <v>159</v>
      </c>
      <c r="B122" t="s">
        <v>13</v>
      </c>
      <c r="C122" s="1">
        <v>36590</v>
      </c>
      <c r="D122" s="8">
        <f ca="1">ROUND(YEARFRAC(NEET[[#This Row],[Date_of_Birth]],TODAY()),0)</f>
        <v>26</v>
      </c>
      <c r="E122" t="s">
        <v>40</v>
      </c>
      <c r="F122" t="s">
        <v>15</v>
      </c>
      <c r="G122" t="s">
        <v>34</v>
      </c>
      <c r="H122">
        <v>1</v>
      </c>
      <c r="I122">
        <v>97</v>
      </c>
      <c r="J122">
        <v>43</v>
      </c>
      <c r="K122">
        <v>124</v>
      </c>
      <c r="L122">
        <v>264</v>
      </c>
      <c r="M122">
        <v>2026</v>
      </c>
    </row>
    <row r="123" spans="1:13" x14ac:dyDescent="0.25">
      <c r="A123" t="s">
        <v>160</v>
      </c>
      <c r="B123" t="s">
        <v>13</v>
      </c>
      <c r="C123" s="1">
        <v>39712</v>
      </c>
      <c r="D123" s="8">
        <f ca="1">ROUND(YEARFRAC(NEET[[#This Row],[Date_of_Birth]],TODAY()),0)</f>
        <v>18</v>
      </c>
      <c r="E123" t="s">
        <v>46</v>
      </c>
      <c r="F123" t="s">
        <v>15</v>
      </c>
      <c r="G123" t="s">
        <v>34</v>
      </c>
      <c r="H123">
        <v>3</v>
      </c>
      <c r="I123">
        <v>161</v>
      </c>
      <c r="J123">
        <v>57</v>
      </c>
      <c r="K123">
        <v>291</v>
      </c>
      <c r="L123">
        <v>509</v>
      </c>
      <c r="M123">
        <v>2023</v>
      </c>
    </row>
    <row r="124" spans="1:13" x14ac:dyDescent="0.25">
      <c r="A124" t="s">
        <v>161</v>
      </c>
      <c r="B124" t="s">
        <v>20</v>
      </c>
      <c r="C124" s="1">
        <v>36775</v>
      </c>
      <c r="D124" s="8">
        <f ca="1">ROUND(YEARFRAC(NEET[[#This Row],[Date_of_Birth]],TODAY()),0)</f>
        <v>26</v>
      </c>
      <c r="E124" t="s">
        <v>73</v>
      </c>
      <c r="F124" t="s">
        <v>15</v>
      </c>
      <c r="G124" t="s">
        <v>25</v>
      </c>
      <c r="H124">
        <v>1</v>
      </c>
      <c r="I124">
        <v>132</v>
      </c>
      <c r="J124">
        <v>139</v>
      </c>
      <c r="K124">
        <v>115</v>
      </c>
      <c r="L124">
        <v>386</v>
      </c>
      <c r="M124">
        <v>2025</v>
      </c>
    </row>
    <row r="125" spans="1:13" x14ac:dyDescent="0.25">
      <c r="A125" t="s">
        <v>162</v>
      </c>
      <c r="B125" t="s">
        <v>20</v>
      </c>
      <c r="C125" s="1">
        <v>39017</v>
      </c>
      <c r="D125" s="8">
        <f ca="1">ROUND(YEARFRAC(NEET[[#This Row],[Date_of_Birth]],TODAY()),0)</f>
        <v>20</v>
      </c>
      <c r="E125" t="s">
        <v>40</v>
      </c>
      <c r="F125" t="s">
        <v>15</v>
      </c>
      <c r="G125" t="s">
        <v>34</v>
      </c>
      <c r="H125">
        <v>3</v>
      </c>
      <c r="I125">
        <v>46</v>
      </c>
      <c r="J125">
        <v>62</v>
      </c>
      <c r="K125">
        <v>200</v>
      </c>
      <c r="L125">
        <v>308</v>
      </c>
      <c r="M125">
        <v>2026</v>
      </c>
    </row>
    <row r="126" spans="1:13" x14ac:dyDescent="0.25">
      <c r="A126" t="s">
        <v>163</v>
      </c>
      <c r="B126" t="s">
        <v>20</v>
      </c>
      <c r="C126" s="1">
        <v>36932</v>
      </c>
      <c r="D126" s="8">
        <f ca="1">ROUND(YEARFRAC(NEET[[#This Row],[Date_of_Birth]],TODAY()),0)</f>
        <v>25</v>
      </c>
      <c r="E126" t="s">
        <v>69</v>
      </c>
      <c r="F126" t="s">
        <v>70</v>
      </c>
      <c r="G126" t="s">
        <v>34</v>
      </c>
      <c r="H126">
        <v>2</v>
      </c>
      <c r="I126">
        <v>59</v>
      </c>
      <c r="J126">
        <v>171</v>
      </c>
      <c r="K126">
        <v>170</v>
      </c>
      <c r="L126">
        <v>400</v>
      </c>
      <c r="M126">
        <v>2025</v>
      </c>
    </row>
    <row r="127" spans="1:13" x14ac:dyDescent="0.25">
      <c r="A127" t="s">
        <v>164</v>
      </c>
      <c r="B127" t="s">
        <v>20</v>
      </c>
      <c r="C127" s="1">
        <v>38383</v>
      </c>
      <c r="D127" s="8">
        <f ca="1">ROUND(YEARFRAC(NEET[[#This Row],[Date_of_Birth]],TODAY()),0)</f>
        <v>21</v>
      </c>
      <c r="E127" t="s">
        <v>18</v>
      </c>
      <c r="F127" t="s">
        <v>15</v>
      </c>
      <c r="G127" t="s">
        <v>29</v>
      </c>
      <c r="H127">
        <v>3</v>
      </c>
      <c r="I127">
        <v>136</v>
      </c>
      <c r="J127">
        <v>54</v>
      </c>
      <c r="K127">
        <v>220</v>
      </c>
      <c r="L127">
        <v>410</v>
      </c>
      <c r="M127">
        <v>2024</v>
      </c>
    </row>
    <row r="128" spans="1:13" x14ac:dyDescent="0.25">
      <c r="A128" t="s">
        <v>165</v>
      </c>
      <c r="B128" t="s">
        <v>13</v>
      </c>
      <c r="C128" s="1">
        <v>39339</v>
      </c>
      <c r="D128" s="8">
        <f ca="1">ROUND(YEARFRAC(NEET[[#This Row],[Date_of_Birth]],TODAY()),0)</f>
        <v>19</v>
      </c>
      <c r="E128" t="s">
        <v>48</v>
      </c>
      <c r="F128" t="s">
        <v>49</v>
      </c>
      <c r="G128" t="s">
        <v>25</v>
      </c>
      <c r="H128">
        <v>4</v>
      </c>
      <c r="I128">
        <v>151</v>
      </c>
      <c r="J128">
        <v>47</v>
      </c>
      <c r="K128">
        <v>106</v>
      </c>
      <c r="L128">
        <v>304</v>
      </c>
      <c r="M128">
        <v>2025</v>
      </c>
    </row>
    <row r="129" spans="1:13" x14ac:dyDescent="0.25">
      <c r="A129" t="s">
        <v>166</v>
      </c>
      <c r="B129" t="s">
        <v>13</v>
      </c>
      <c r="C129" s="1">
        <v>37058</v>
      </c>
      <c r="D129" s="8">
        <f ca="1">ROUND(YEARFRAC(NEET[[#This Row],[Date_of_Birth]],TODAY()),0)</f>
        <v>25</v>
      </c>
      <c r="E129" t="s">
        <v>42</v>
      </c>
      <c r="F129" t="s">
        <v>15</v>
      </c>
      <c r="G129" t="s">
        <v>29</v>
      </c>
      <c r="H129">
        <v>4</v>
      </c>
      <c r="I129">
        <v>45</v>
      </c>
      <c r="J129">
        <v>180</v>
      </c>
      <c r="K129">
        <v>347</v>
      </c>
      <c r="L129">
        <v>572</v>
      </c>
      <c r="M129">
        <v>2026</v>
      </c>
    </row>
    <row r="130" spans="1:13" x14ac:dyDescent="0.25">
      <c r="A130" t="s">
        <v>167</v>
      </c>
      <c r="B130" t="s">
        <v>13</v>
      </c>
      <c r="C130" s="1">
        <v>39479</v>
      </c>
      <c r="D130" s="8">
        <f ca="1">ROUND(YEARFRAC(NEET[[#This Row],[Date_of_Birth]],TODAY()),0)</f>
        <v>18</v>
      </c>
      <c r="E130" t="s">
        <v>53</v>
      </c>
      <c r="F130" t="s">
        <v>15</v>
      </c>
      <c r="G130" t="s">
        <v>34</v>
      </c>
      <c r="H130">
        <v>2</v>
      </c>
      <c r="I130">
        <v>103</v>
      </c>
      <c r="J130">
        <v>109</v>
      </c>
      <c r="K130">
        <v>240</v>
      </c>
      <c r="L130">
        <v>452</v>
      </c>
      <c r="M130">
        <v>2024</v>
      </c>
    </row>
    <row r="131" spans="1:13" x14ac:dyDescent="0.25">
      <c r="A131" t="s">
        <v>168</v>
      </c>
      <c r="B131" t="s">
        <v>13</v>
      </c>
      <c r="C131" s="1">
        <v>36969</v>
      </c>
      <c r="D131" s="8">
        <f ca="1">ROUND(YEARFRAC(NEET[[#This Row],[Date_of_Birth]],TODAY()),0)</f>
        <v>25</v>
      </c>
      <c r="E131" t="s">
        <v>46</v>
      </c>
      <c r="F131" t="s">
        <v>15</v>
      </c>
      <c r="G131" t="s">
        <v>16</v>
      </c>
      <c r="H131">
        <v>4</v>
      </c>
      <c r="I131">
        <v>172</v>
      </c>
      <c r="J131">
        <v>124</v>
      </c>
      <c r="K131">
        <v>118</v>
      </c>
      <c r="L131">
        <v>414</v>
      </c>
      <c r="M131">
        <v>2023</v>
      </c>
    </row>
    <row r="132" spans="1:13" x14ac:dyDescent="0.25">
      <c r="A132" t="s">
        <v>169</v>
      </c>
      <c r="B132" t="s">
        <v>20</v>
      </c>
      <c r="C132" s="1">
        <v>39020</v>
      </c>
      <c r="D132" s="8">
        <f ca="1">ROUND(YEARFRAC(NEET[[#This Row],[Date_of_Birth]],TODAY()),0)</f>
        <v>20</v>
      </c>
      <c r="E132" t="s">
        <v>48</v>
      </c>
      <c r="F132" t="s">
        <v>49</v>
      </c>
      <c r="G132" t="s">
        <v>29</v>
      </c>
      <c r="H132">
        <v>3</v>
      </c>
      <c r="I132">
        <v>98</v>
      </c>
      <c r="J132">
        <v>37</v>
      </c>
      <c r="K132">
        <v>152</v>
      </c>
      <c r="L132">
        <v>287</v>
      </c>
      <c r="M132">
        <v>2023</v>
      </c>
    </row>
    <row r="133" spans="1:13" x14ac:dyDescent="0.25">
      <c r="A133" t="s">
        <v>170</v>
      </c>
      <c r="B133" t="s">
        <v>13</v>
      </c>
      <c r="C133" s="1">
        <v>37269</v>
      </c>
      <c r="D133" s="8">
        <f ca="1">ROUND(YEARFRAC(NEET[[#This Row],[Date_of_Birth]],TODAY()),0)</f>
        <v>24</v>
      </c>
      <c r="E133" t="s">
        <v>31</v>
      </c>
      <c r="F133" t="s">
        <v>32</v>
      </c>
      <c r="G133" t="s">
        <v>25</v>
      </c>
      <c r="H133">
        <v>1</v>
      </c>
      <c r="I133">
        <v>66</v>
      </c>
      <c r="J133">
        <v>174</v>
      </c>
      <c r="K133">
        <v>265</v>
      </c>
      <c r="L133">
        <v>505</v>
      </c>
      <c r="M133">
        <v>2024</v>
      </c>
    </row>
    <row r="134" spans="1:13" x14ac:dyDescent="0.25">
      <c r="A134" t="s">
        <v>171</v>
      </c>
      <c r="B134" t="s">
        <v>20</v>
      </c>
      <c r="C134" s="1">
        <v>38066</v>
      </c>
      <c r="D134" s="8">
        <f ca="1">ROUND(YEARFRAC(NEET[[#This Row],[Date_of_Birth]],TODAY()),0)</f>
        <v>22</v>
      </c>
      <c r="E134" t="s">
        <v>18</v>
      </c>
      <c r="F134" t="s">
        <v>15</v>
      </c>
      <c r="G134" t="s">
        <v>16</v>
      </c>
      <c r="H134">
        <v>3</v>
      </c>
      <c r="I134">
        <v>146</v>
      </c>
      <c r="J134">
        <v>117</v>
      </c>
      <c r="K134">
        <v>140</v>
      </c>
      <c r="L134">
        <v>403</v>
      </c>
      <c r="M134">
        <v>2023</v>
      </c>
    </row>
    <row r="135" spans="1:13" x14ac:dyDescent="0.25">
      <c r="A135" t="s">
        <v>172</v>
      </c>
      <c r="B135" t="s">
        <v>20</v>
      </c>
      <c r="C135" s="1">
        <v>36741</v>
      </c>
      <c r="D135" s="8">
        <f ca="1">ROUND(YEARFRAC(NEET[[#This Row],[Date_of_Birth]],TODAY()),0)</f>
        <v>26</v>
      </c>
      <c r="E135" t="s">
        <v>40</v>
      </c>
      <c r="F135" t="s">
        <v>15</v>
      </c>
      <c r="G135" t="s">
        <v>34</v>
      </c>
      <c r="H135">
        <v>4</v>
      </c>
      <c r="I135">
        <v>70</v>
      </c>
      <c r="J135">
        <v>42</v>
      </c>
      <c r="K135">
        <v>101</v>
      </c>
      <c r="L135">
        <v>213</v>
      </c>
      <c r="M135">
        <v>2026</v>
      </c>
    </row>
    <row r="136" spans="1:13" x14ac:dyDescent="0.25">
      <c r="A136" t="s">
        <v>173</v>
      </c>
      <c r="B136" t="s">
        <v>20</v>
      </c>
      <c r="C136" s="1">
        <v>38222</v>
      </c>
      <c r="D136" s="8">
        <f ca="1">ROUND(YEARFRAC(NEET[[#This Row],[Date_of_Birth]],TODAY()),0)</f>
        <v>22</v>
      </c>
      <c r="E136" t="s">
        <v>24</v>
      </c>
      <c r="F136" t="s">
        <v>15</v>
      </c>
      <c r="G136" t="s">
        <v>29</v>
      </c>
      <c r="H136">
        <v>1</v>
      </c>
      <c r="I136">
        <v>85</v>
      </c>
      <c r="J136">
        <v>161</v>
      </c>
      <c r="K136">
        <v>118</v>
      </c>
      <c r="L136">
        <v>364</v>
      </c>
      <c r="M136">
        <v>2026</v>
      </c>
    </row>
    <row r="137" spans="1:13" x14ac:dyDescent="0.25">
      <c r="A137" t="s">
        <v>174</v>
      </c>
      <c r="B137" t="s">
        <v>13</v>
      </c>
      <c r="C137" s="1">
        <v>38684</v>
      </c>
      <c r="D137" s="8">
        <f ca="1">ROUND(YEARFRAC(NEET[[#This Row],[Date_of_Birth]],TODAY()),0)</f>
        <v>20</v>
      </c>
      <c r="E137" t="s">
        <v>21</v>
      </c>
      <c r="F137" t="s">
        <v>21</v>
      </c>
      <c r="G137" t="s">
        <v>22</v>
      </c>
      <c r="H137">
        <v>1</v>
      </c>
      <c r="I137">
        <v>108</v>
      </c>
      <c r="J137">
        <v>41</v>
      </c>
      <c r="K137">
        <v>172</v>
      </c>
      <c r="L137">
        <v>321</v>
      </c>
      <c r="M137">
        <v>2025</v>
      </c>
    </row>
    <row r="138" spans="1:13" x14ac:dyDescent="0.25">
      <c r="A138" t="s">
        <v>175</v>
      </c>
      <c r="B138" t="s">
        <v>13</v>
      </c>
      <c r="C138" s="1">
        <v>37391</v>
      </c>
      <c r="D138" s="8">
        <f ca="1">ROUND(YEARFRAC(NEET[[#This Row],[Date_of_Birth]],TODAY()),0)</f>
        <v>24</v>
      </c>
      <c r="E138" t="s">
        <v>69</v>
      </c>
      <c r="F138" t="s">
        <v>70</v>
      </c>
      <c r="G138" t="s">
        <v>34</v>
      </c>
      <c r="H138">
        <v>1</v>
      </c>
      <c r="I138">
        <v>65</v>
      </c>
      <c r="J138">
        <v>95</v>
      </c>
      <c r="K138">
        <v>208</v>
      </c>
      <c r="L138">
        <v>368</v>
      </c>
      <c r="M138">
        <v>2026</v>
      </c>
    </row>
    <row r="139" spans="1:13" x14ac:dyDescent="0.25">
      <c r="A139" t="s">
        <v>176</v>
      </c>
      <c r="B139" t="s">
        <v>13</v>
      </c>
      <c r="C139" s="1">
        <v>37245</v>
      </c>
      <c r="D139" s="8">
        <f ca="1">ROUND(YEARFRAC(NEET[[#This Row],[Date_of_Birth]],TODAY()),0)</f>
        <v>24</v>
      </c>
      <c r="E139" t="s">
        <v>40</v>
      </c>
      <c r="F139" t="s">
        <v>15</v>
      </c>
      <c r="G139" t="s">
        <v>25</v>
      </c>
      <c r="H139">
        <v>4</v>
      </c>
      <c r="I139">
        <v>127</v>
      </c>
      <c r="J139">
        <v>166</v>
      </c>
      <c r="K139">
        <v>177</v>
      </c>
      <c r="L139">
        <v>470</v>
      </c>
      <c r="M139">
        <v>2026</v>
      </c>
    </row>
    <row r="140" spans="1:13" x14ac:dyDescent="0.25">
      <c r="A140" t="s">
        <v>177</v>
      </c>
      <c r="B140" t="s">
        <v>20</v>
      </c>
      <c r="C140" s="1">
        <v>36602</v>
      </c>
      <c r="D140" s="8">
        <f ca="1">ROUND(YEARFRAC(NEET[[#This Row],[Date_of_Birth]],TODAY()),0)</f>
        <v>26</v>
      </c>
      <c r="E140" t="s">
        <v>73</v>
      </c>
      <c r="F140" t="s">
        <v>15</v>
      </c>
      <c r="G140" t="s">
        <v>29</v>
      </c>
      <c r="H140">
        <v>4</v>
      </c>
      <c r="I140">
        <v>49</v>
      </c>
      <c r="J140">
        <v>110</v>
      </c>
      <c r="K140">
        <v>354</v>
      </c>
      <c r="L140">
        <v>513</v>
      </c>
      <c r="M140">
        <v>2023</v>
      </c>
    </row>
    <row r="141" spans="1:13" x14ac:dyDescent="0.25">
      <c r="A141" t="s">
        <v>178</v>
      </c>
      <c r="B141" t="s">
        <v>13</v>
      </c>
      <c r="C141" s="1">
        <v>38185</v>
      </c>
      <c r="D141" s="8">
        <f ca="1">ROUND(YEARFRAC(NEET[[#This Row],[Date_of_Birth]],TODAY()),0)</f>
        <v>22</v>
      </c>
      <c r="E141" t="s">
        <v>53</v>
      </c>
      <c r="F141" t="s">
        <v>15</v>
      </c>
      <c r="G141" t="s">
        <v>25</v>
      </c>
      <c r="H141">
        <v>4</v>
      </c>
      <c r="I141">
        <v>113</v>
      </c>
      <c r="J141">
        <v>73</v>
      </c>
      <c r="K141">
        <v>295</v>
      </c>
      <c r="L141">
        <v>481</v>
      </c>
      <c r="M141">
        <v>2024</v>
      </c>
    </row>
    <row r="142" spans="1:13" x14ac:dyDescent="0.25">
      <c r="A142" t="s">
        <v>179</v>
      </c>
      <c r="B142" t="s">
        <v>20</v>
      </c>
      <c r="C142" s="1">
        <v>38310</v>
      </c>
      <c r="D142" s="8">
        <f ca="1">ROUND(YEARFRAC(NEET[[#This Row],[Date_of_Birth]],TODAY()),0)</f>
        <v>21</v>
      </c>
      <c r="E142" t="s">
        <v>27</v>
      </c>
      <c r="F142" t="s">
        <v>15</v>
      </c>
      <c r="G142" t="s">
        <v>22</v>
      </c>
      <c r="H142">
        <v>3</v>
      </c>
      <c r="I142">
        <v>132</v>
      </c>
      <c r="J142">
        <v>164</v>
      </c>
      <c r="K142">
        <v>100</v>
      </c>
      <c r="L142">
        <v>396</v>
      </c>
      <c r="M142">
        <v>2025</v>
      </c>
    </row>
    <row r="143" spans="1:13" x14ac:dyDescent="0.25">
      <c r="A143" t="s">
        <v>180</v>
      </c>
      <c r="B143" t="s">
        <v>20</v>
      </c>
      <c r="C143" s="1">
        <v>39717</v>
      </c>
      <c r="D143" s="8">
        <f ca="1">ROUND(YEARFRAC(NEET[[#This Row],[Date_of_Birth]],TODAY()),0)</f>
        <v>18</v>
      </c>
      <c r="E143" t="s">
        <v>40</v>
      </c>
      <c r="F143" t="s">
        <v>15</v>
      </c>
      <c r="G143" t="s">
        <v>22</v>
      </c>
      <c r="H143">
        <v>3</v>
      </c>
      <c r="I143">
        <v>49</v>
      </c>
      <c r="J143">
        <v>160</v>
      </c>
      <c r="K143">
        <v>118</v>
      </c>
      <c r="L143">
        <v>327</v>
      </c>
      <c r="M143">
        <v>2024</v>
      </c>
    </row>
    <row r="144" spans="1:13" x14ac:dyDescent="0.25">
      <c r="A144" t="s">
        <v>181</v>
      </c>
      <c r="B144" t="s">
        <v>13</v>
      </c>
      <c r="C144" s="1">
        <v>36947</v>
      </c>
      <c r="D144" s="8">
        <f ca="1">ROUND(YEARFRAC(NEET[[#This Row],[Date_of_Birth]],TODAY()),0)</f>
        <v>25</v>
      </c>
      <c r="E144" t="s">
        <v>40</v>
      </c>
      <c r="F144" t="s">
        <v>15</v>
      </c>
      <c r="G144" t="s">
        <v>34</v>
      </c>
      <c r="H144">
        <v>2</v>
      </c>
      <c r="I144">
        <v>95</v>
      </c>
      <c r="J144">
        <v>80</v>
      </c>
      <c r="K144">
        <v>148</v>
      </c>
      <c r="L144">
        <v>323</v>
      </c>
      <c r="M144">
        <v>2026</v>
      </c>
    </row>
    <row r="145" spans="1:13" x14ac:dyDescent="0.25">
      <c r="A145" t="s">
        <v>182</v>
      </c>
      <c r="B145" t="s">
        <v>20</v>
      </c>
      <c r="C145" s="1">
        <v>39616</v>
      </c>
      <c r="D145" s="8">
        <f ca="1">ROUND(YEARFRAC(NEET[[#This Row],[Date_of_Birth]],TODAY()),0)</f>
        <v>18</v>
      </c>
      <c r="E145" t="s">
        <v>27</v>
      </c>
      <c r="F145" t="s">
        <v>15</v>
      </c>
      <c r="G145" t="s">
        <v>34</v>
      </c>
      <c r="H145">
        <v>2</v>
      </c>
      <c r="I145">
        <v>178</v>
      </c>
      <c r="J145">
        <v>144</v>
      </c>
      <c r="K145">
        <v>349</v>
      </c>
      <c r="L145">
        <v>671</v>
      </c>
      <c r="M145">
        <v>2023</v>
      </c>
    </row>
    <row r="146" spans="1:13" x14ac:dyDescent="0.25">
      <c r="A146" t="s">
        <v>183</v>
      </c>
      <c r="B146" t="s">
        <v>13</v>
      </c>
      <c r="C146" s="1">
        <v>38446</v>
      </c>
      <c r="D146" s="8">
        <f ca="1">ROUND(YEARFRAC(NEET[[#This Row],[Date_of_Birth]],TODAY()),0)</f>
        <v>21</v>
      </c>
      <c r="E146" t="s">
        <v>73</v>
      </c>
      <c r="F146" t="s">
        <v>15</v>
      </c>
      <c r="G146" t="s">
        <v>34</v>
      </c>
      <c r="H146">
        <v>3</v>
      </c>
      <c r="I146">
        <v>107</v>
      </c>
      <c r="J146">
        <v>100</v>
      </c>
      <c r="K146">
        <v>88</v>
      </c>
      <c r="L146">
        <v>295</v>
      </c>
      <c r="M146">
        <v>2026</v>
      </c>
    </row>
    <row r="147" spans="1:13" x14ac:dyDescent="0.25">
      <c r="A147" t="s">
        <v>184</v>
      </c>
      <c r="B147" t="s">
        <v>20</v>
      </c>
      <c r="C147" s="1">
        <v>36680</v>
      </c>
      <c r="D147" s="8">
        <f ca="1">ROUND(YEARFRAC(NEET[[#This Row],[Date_of_Birth]],TODAY()),0)</f>
        <v>26</v>
      </c>
      <c r="E147" t="s">
        <v>53</v>
      </c>
      <c r="F147" t="s">
        <v>15</v>
      </c>
      <c r="G147" t="s">
        <v>16</v>
      </c>
      <c r="H147">
        <v>4</v>
      </c>
      <c r="I147">
        <v>124</v>
      </c>
      <c r="J147">
        <v>103</v>
      </c>
      <c r="K147">
        <v>99</v>
      </c>
      <c r="L147">
        <v>326</v>
      </c>
      <c r="M147">
        <v>2023</v>
      </c>
    </row>
    <row r="148" spans="1:13" x14ac:dyDescent="0.25">
      <c r="A148" t="s">
        <v>185</v>
      </c>
      <c r="B148" t="s">
        <v>13</v>
      </c>
      <c r="C148" s="1">
        <v>38368</v>
      </c>
      <c r="D148" s="8">
        <f ca="1">ROUND(YEARFRAC(NEET[[#This Row],[Date_of_Birth]],TODAY()),0)</f>
        <v>21</v>
      </c>
      <c r="E148" t="s">
        <v>48</v>
      </c>
      <c r="F148" t="s">
        <v>49</v>
      </c>
      <c r="G148" t="s">
        <v>34</v>
      </c>
      <c r="H148">
        <v>1</v>
      </c>
      <c r="I148">
        <v>176</v>
      </c>
      <c r="J148">
        <v>78</v>
      </c>
      <c r="K148">
        <v>224</v>
      </c>
      <c r="L148">
        <v>478</v>
      </c>
      <c r="M148">
        <v>2023</v>
      </c>
    </row>
    <row r="149" spans="1:13" x14ac:dyDescent="0.25">
      <c r="A149" t="s">
        <v>186</v>
      </c>
      <c r="B149" t="s">
        <v>13</v>
      </c>
      <c r="C149" s="1">
        <v>37932</v>
      </c>
      <c r="D149" s="8">
        <f ca="1">ROUND(YEARFRAC(NEET[[#This Row],[Date_of_Birth]],TODAY()),0)</f>
        <v>23</v>
      </c>
      <c r="E149" t="s">
        <v>36</v>
      </c>
      <c r="F149" t="s">
        <v>37</v>
      </c>
      <c r="G149" t="s">
        <v>34</v>
      </c>
      <c r="H149">
        <v>4</v>
      </c>
      <c r="I149">
        <v>51</v>
      </c>
      <c r="J149">
        <v>159</v>
      </c>
      <c r="K149">
        <v>148</v>
      </c>
      <c r="L149">
        <v>358</v>
      </c>
      <c r="M149">
        <v>2024</v>
      </c>
    </row>
    <row r="150" spans="1:13" x14ac:dyDescent="0.25">
      <c r="A150" t="s">
        <v>187</v>
      </c>
      <c r="B150" t="s">
        <v>13</v>
      </c>
      <c r="C150" s="1">
        <v>38016</v>
      </c>
      <c r="D150" s="8">
        <f ca="1">ROUND(YEARFRAC(NEET[[#This Row],[Date_of_Birth]],TODAY()),0)</f>
        <v>22</v>
      </c>
      <c r="E150" t="s">
        <v>46</v>
      </c>
      <c r="F150" t="s">
        <v>15</v>
      </c>
      <c r="G150" t="s">
        <v>25</v>
      </c>
      <c r="H150">
        <v>3</v>
      </c>
      <c r="I150">
        <v>102</v>
      </c>
      <c r="J150">
        <v>129</v>
      </c>
      <c r="K150">
        <v>269</v>
      </c>
      <c r="L150">
        <v>500</v>
      </c>
      <c r="M150">
        <v>2025</v>
      </c>
    </row>
    <row r="151" spans="1:13" x14ac:dyDescent="0.25">
      <c r="A151" t="s">
        <v>188</v>
      </c>
      <c r="B151" t="s">
        <v>20</v>
      </c>
      <c r="C151" s="1">
        <v>36913</v>
      </c>
      <c r="D151" s="8">
        <f ca="1">ROUND(YEARFRAC(NEET[[#This Row],[Date_of_Birth]],TODAY()),0)</f>
        <v>25</v>
      </c>
      <c r="E151" t="s">
        <v>42</v>
      </c>
      <c r="F151" t="s">
        <v>15</v>
      </c>
      <c r="G151" t="s">
        <v>16</v>
      </c>
      <c r="H151">
        <v>1</v>
      </c>
      <c r="I151">
        <v>128</v>
      </c>
      <c r="J151">
        <v>102</v>
      </c>
      <c r="K151">
        <v>189</v>
      </c>
      <c r="L151">
        <v>419</v>
      </c>
      <c r="M151">
        <v>2024</v>
      </c>
    </row>
    <row r="152" spans="1:13" x14ac:dyDescent="0.25">
      <c r="A152" t="s">
        <v>189</v>
      </c>
      <c r="B152" t="s">
        <v>20</v>
      </c>
      <c r="C152" s="1">
        <v>37958</v>
      </c>
      <c r="D152" s="8">
        <f ca="1">ROUND(YEARFRAC(NEET[[#This Row],[Date_of_Birth]],TODAY()),0)</f>
        <v>22</v>
      </c>
      <c r="E152" t="s">
        <v>24</v>
      </c>
      <c r="F152" t="s">
        <v>15</v>
      </c>
      <c r="G152" t="s">
        <v>22</v>
      </c>
      <c r="H152">
        <v>3</v>
      </c>
      <c r="I152">
        <v>130</v>
      </c>
      <c r="J152">
        <v>63</v>
      </c>
      <c r="K152">
        <v>103</v>
      </c>
      <c r="L152">
        <v>296</v>
      </c>
      <c r="M152">
        <v>2023</v>
      </c>
    </row>
    <row r="153" spans="1:13" x14ac:dyDescent="0.25">
      <c r="A153" t="s">
        <v>190</v>
      </c>
      <c r="B153" t="s">
        <v>20</v>
      </c>
      <c r="C153" s="1">
        <v>39172</v>
      </c>
      <c r="D153" s="8">
        <f ca="1">ROUND(YEARFRAC(NEET[[#This Row],[Date_of_Birth]],TODAY()),0)</f>
        <v>19</v>
      </c>
      <c r="E153" t="s">
        <v>21</v>
      </c>
      <c r="F153" t="s">
        <v>21</v>
      </c>
      <c r="G153" t="s">
        <v>22</v>
      </c>
      <c r="H153">
        <v>3</v>
      </c>
      <c r="I153">
        <v>138</v>
      </c>
      <c r="J153">
        <v>160</v>
      </c>
      <c r="K153">
        <v>245</v>
      </c>
      <c r="L153">
        <v>543</v>
      </c>
      <c r="M153">
        <v>2024</v>
      </c>
    </row>
    <row r="154" spans="1:13" x14ac:dyDescent="0.25">
      <c r="A154" t="s">
        <v>191</v>
      </c>
      <c r="B154" t="s">
        <v>13</v>
      </c>
      <c r="C154" s="1">
        <v>37925</v>
      </c>
      <c r="D154" s="8">
        <f ca="1">ROUND(YEARFRAC(NEET[[#This Row],[Date_of_Birth]],TODAY()),0)</f>
        <v>23</v>
      </c>
      <c r="E154" t="s">
        <v>69</v>
      </c>
      <c r="F154" t="s">
        <v>70</v>
      </c>
      <c r="G154" t="s">
        <v>29</v>
      </c>
      <c r="H154">
        <v>1</v>
      </c>
      <c r="I154">
        <v>154</v>
      </c>
      <c r="J154">
        <v>79</v>
      </c>
      <c r="K154">
        <v>175</v>
      </c>
      <c r="L154">
        <v>408</v>
      </c>
      <c r="M154">
        <v>2023</v>
      </c>
    </row>
    <row r="155" spans="1:13" x14ac:dyDescent="0.25">
      <c r="A155" t="s">
        <v>192</v>
      </c>
      <c r="B155" t="s">
        <v>13</v>
      </c>
      <c r="C155" s="1">
        <v>38605</v>
      </c>
      <c r="D155" s="8">
        <f ca="1">ROUND(YEARFRAC(NEET[[#This Row],[Date_of_Birth]],TODAY()),0)</f>
        <v>21</v>
      </c>
      <c r="E155" t="s">
        <v>69</v>
      </c>
      <c r="F155" t="s">
        <v>70</v>
      </c>
      <c r="G155" t="s">
        <v>22</v>
      </c>
      <c r="H155">
        <v>4</v>
      </c>
      <c r="I155">
        <v>168</v>
      </c>
      <c r="J155">
        <v>164</v>
      </c>
      <c r="K155">
        <v>79</v>
      </c>
      <c r="L155">
        <v>411</v>
      </c>
      <c r="M155">
        <v>2024</v>
      </c>
    </row>
    <row r="156" spans="1:13" x14ac:dyDescent="0.25">
      <c r="A156" t="s">
        <v>193</v>
      </c>
      <c r="B156" t="s">
        <v>20</v>
      </c>
      <c r="C156" s="1">
        <v>37266</v>
      </c>
      <c r="D156" s="8">
        <f ca="1">ROUND(YEARFRAC(NEET[[#This Row],[Date_of_Birth]],TODAY()),0)</f>
        <v>24</v>
      </c>
      <c r="E156" t="s">
        <v>31</v>
      </c>
      <c r="F156" t="s">
        <v>32</v>
      </c>
      <c r="G156" t="s">
        <v>34</v>
      </c>
      <c r="H156">
        <v>2</v>
      </c>
      <c r="I156">
        <v>72</v>
      </c>
      <c r="J156">
        <v>142</v>
      </c>
      <c r="K156">
        <v>82</v>
      </c>
      <c r="L156">
        <v>296</v>
      </c>
      <c r="M156">
        <v>2025</v>
      </c>
    </row>
    <row r="157" spans="1:13" x14ac:dyDescent="0.25">
      <c r="A157" t="s">
        <v>194</v>
      </c>
      <c r="B157" t="s">
        <v>20</v>
      </c>
      <c r="C157" s="1">
        <v>39607</v>
      </c>
      <c r="D157" s="8">
        <f ca="1">ROUND(YEARFRAC(NEET[[#This Row],[Date_of_Birth]],TODAY()),0)</f>
        <v>18</v>
      </c>
      <c r="E157" t="s">
        <v>36</v>
      </c>
      <c r="F157" t="s">
        <v>37</v>
      </c>
      <c r="G157" t="s">
        <v>22</v>
      </c>
      <c r="H157">
        <v>4</v>
      </c>
      <c r="I157">
        <v>144</v>
      </c>
      <c r="J157">
        <v>89</v>
      </c>
      <c r="K157">
        <v>333</v>
      </c>
      <c r="L157">
        <v>566</v>
      </c>
      <c r="M157">
        <v>2025</v>
      </c>
    </row>
    <row r="158" spans="1:13" x14ac:dyDescent="0.25">
      <c r="A158" t="s">
        <v>195</v>
      </c>
      <c r="B158" t="s">
        <v>20</v>
      </c>
      <c r="C158" s="1">
        <v>39304</v>
      </c>
      <c r="D158" s="8">
        <f ca="1">ROUND(YEARFRAC(NEET[[#This Row],[Date_of_Birth]],TODAY()),0)</f>
        <v>19</v>
      </c>
      <c r="E158" t="s">
        <v>27</v>
      </c>
      <c r="F158" t="s">
        <v>15</v>
      </c>
      <c r="G158" t="s">
        <v>22</v>
      </c>
      <c r="H158">
        <v>2</v>
      </c>
      <c r="I158">
        <v>142</v>
      </c>
      <c r="J158">
        <v>148</v>
      </c>
      <c r="K158">
        <v>204</v>
      </c>
      <c r="L158">
        <v>494</v>
      </c>
      <c r="M158">
        <v>2024</v>
      </c>
    </row>
    <row r="159" spans="1:13" x14ac:dyDescent="0.25">
      <c r="A159" t="s">
        <v>196</v>
      </c>
      <c r="B159" t="s">
        <v>13</v>
      </c>
      <c r="C159" s="1">
        <v>37550</v>
      </c>
      <c r="D159" s="8">
        <f ca="1">ROUND(YEARFRAC(NEET[[#This Row],[Date_of_Birth]],TODAY()),0)</f>
        <v>24</v>
      </c>
      <c r="E159" t="s">
        <v>53</v>
      </c>
      <c r="F159" t="s">
        <v>15</v>
      </c>
      <c r="G159" t="s">
        <v>25</v>
      </c>
      <c r="H159">
        <v>3</v>
      </c>
      <c r="I159">
        <v>153</v>
      </c>
      <c r="J159">
        <v>125</v>
      </c>
      <c r="K159">
        <v>343</v>
      </c>
      <c r="L159">
        <v>621</v>
      </c>
      <c r="M159">
        <v>2024</v>
      </c>
    </row>
    <row r="160" spans="1:13" x14ac:dyDescent="0.25">
      <c r="A160" t="s">
        <v>197</v>
      </c>
      <c r="B160" t="s">
        <v>13</v>
      </c>
      <c r="C160" s="1">
        <v>37643</v>
      </c>
      <c r="D160" s="8">
        <f ca="1">ROUND(YEARFRAC(NEET[[#This Row],[Date_of_Birth]],TODAY()),0)</f>
        <v>23</v>
      </c>
      <c r="E160" t="s">
        <v>73</v>
      </c>
      <c r="F160" t="s">
        <v>15</v>
      </c>
      <c r="G160" t="s">
        <v>29</v>
      </c>
      <c r="H160">
        <v>4</v>
      </c>
      <c r="I160">
        <v>161</v>
      </c>
      <c r="J160">
        <v>67</v>
      </c>
      <c r="K160">
        <v>283</v>
      </c>
      <c r="L160">
        <v>511</v>
      </c>
      <c r="M160">
        <v>2023</v>
      </c>
    </row>
    <row r="161" spans="1:13" x14ac:dyDescent="0.25">
      <c r="A161" t="s">
        <v>198</v>
      </c>
      <c r="B161" t="s">
        <v>20</v>
      </c>
      <c r="C161" s="1">
        <v>38225</v>
      </c>
      <c r="D161" s="8">
        <f ca="1">ROUND(YEARFRAC(NEET[[#This Row],[Date_of_Birth]],TODAY()),0)</f>
        <v>22</v>
      </c>
      <c r="E161" t="s">
        <v>53</v>
      </c>
      <c r="F161" t="s">
        <v>15</v>
      </c>
      <c r="G161" t="s">
        <v>29</v>
      </c>
      <c r="H161">
        <v>1</v>
      </c>
      <c r="I161">
        <v>131</v>
      </c>
      <c r="J161">
        <v>158</v>
      </c>
      <c r="K161">
        <v>251</v>
      </c>
      <c r="L161">
        <v>540</v>
      </c>
      <c r="M161">
        <v>2024</v>
      </c>
    </row>
    <row r="162" spans="1:13" x14ac:dyDescent="0.25">
      <c r="A162" t="s">
        <v>199</v>
      </c>
      <c r="B162" t="s">
        <v>13</v>
      </c>
      <c r="C162" s="1">
        <v>36641</v>
      </c>
      <c r="D162" s="8">
        <f ca="1">ROUND(YEARFRAC(NEET[[#This Row],[Date_of_Birth]],TODAY()),0)</f>
        <v>26</v>
      </c>
      <c r="E162" t="s">
        <v>46</v>
      </c>
      <c r="F162" t="s">
        <v>15</v>
      </c>
      <c r="G162" t="s">
        <v>34</v>
      </c>
      <c r="H162">
        <v>3</v>
      </c>
      <c r="I162">
        <v>55</v>
      </c>
      <c r="J162">
        <v>115</v>
      </c>
      <c r="K162">
        <v>134</v>
      </c>
      <c r="L162">
        <v>304</v>
      </c>
      <c r="M162">
        <v>2024</v>
      </c>
    </row>
    <row r="163" spans="1:13" x14ac:dyDescent="0.25">
      <c r="A163" t="s">
        <v>200</v>
      </c>
      <c r="B163" t="s">
        <v>13</v>
      </c>
      <c r="C163" s="1">
        <v>39634</v>
      </c>
      <c r="D163" s="8">
        <f ca="1">ROUND(YEARFRAC(NEET[[#This Row],[Date_of_Birth]],TODAY()),0)</f>
        <v>18</v>
      </c>
      <c r="E163" t="s">
        <v>36</v>
      </c>
      <c r="F163" t="s">
        <v>37</v>
      </c>
      <c r="G163" t="s">
        <v>22</v>
      </c>
      <c r="H163">
        <v>3</v>
      </c>
      <c r="I163">
        <v>150</v>
      </c>
      <c r="J163">
        <v>144</v>
      </c>
      <c r="K163">
        <v>62</v>
      </c>
      <c r="L163">
        <v>356</v>
      </c>
      <c r="M163">
        <v>2024</v>
      </c>
    </row>
    <row r="164" spans="1:13" x14ac:dyDescent="0.25">
      <c r="A164" t="s">
        <v>201</v>
      </c>
      <c r="B164" t="s">
        <v>13</v>
      </c>
      <c r="C164" s="1">
        <v>38773</v>
      </c>
      <c r="D164" s="8">
        <f ca="1">ROUND(YEARFRAC(NEET[[#This Row],[Date_of_Birth]],TODAY()),0)</f>
        <v>20</v>
      </c>
      <c r="E164" t="s">
        <v>36</v>
      </c>
      <c r="F164" t="s">
        <v>37</v>
      </c>
      <c r="G164" t="s">
        <v>25</v>
      </c>
      <c r="H164">
        <v>3</v>
      </c>
      <c r="I164">
        <v>165</v>
      </c>
      <c r="J164">
        <v>138</v>
      </c>
      <c r="K164">
        <v>116</v>
      </c>
      <c r="L164">
        <v>419</v>
      </c>
      <c r="M164">
        <v>2023</v>
      </c>
    </row>
    <row r="165" spans="1:13" x14ac:dyDescent="0.25">
      <c r="A165" t="s">
        <v>202</v>
      </c>
      <c r="B165" t="s">
        <v>13</v>
      </c>
      <c r="C165" s="1">
        <v>37502</v>
      </c>
      <c r="D165" s="8">
        <f ca="1">ROUND(YEARFRAC(NEET[[#This Row],[Date_of_Birth]],TODAY()),0)</f>
        <v>24</v>
      </c>
      <c r="E165" t="s">
        <v>18</v>
      </c>
      <c r="F165" t="s">
        <v>15</v>
      </c>
      <c r="G165" t="s">
        <v>22</v>
      </c>
      <c r="H165">
        <v>2</v>
      </c>
      <c r="I165">
        <v>147</v>
      </c>
      <c r="J165">
        <v>46</v>
      </c>
      <c r="K165">
        <v>116</v>
      </c>
      <c r="L165">
        <v>309</v>
      </c>
      <c r="M165">
        <v>2025</v>
      </c>
    </row>
    <row r="166" spans="1:13" x14ac:dyDescent="0.25">
      <c r="A166" t="s">
        <v>203</v>
      </c>
      <c r="B166" t="s">
        <v>13</v>
      </c>
      <c r="C166" s="1">
        <v>38284</v>
      </c>
      <c r="D166" s="8">
        <f ca="1">ROUND(YEARFRAC(NEET[[#This Row],[Date_of_Birth]],TODAY()),0)</f>
        <v>22</v>
      </c>
      <c r="E166" t="s">
        <v>53</v>
      </c>
      <c r="F166" t="s">
        <v>15</v>
      </c>
      <c r="G166" t="s">
        <v>16</v>
      </c>
      <c r="H166">
        <v>1</v>
      </c>
      <c r="I166">
        <v>120</v>
      </c>
      <c r="J166">
        <v>91</v>
      </c>
      <c r="K166">
        <v>352</v>
      </c>
      <c r="L166">
        <v>563</v>
      </c>
      <c r="M166">
        <v>2025</v>
      </c>
    </row>
    <row r="167" spans="1:13" x14ac:dyDescent="0.25">
      <c r="A167" t="s">
        <v>204</v>
      </c>
      <c r="B167" t="s">
        <v>20</v>
      </c>
      <c r="C167" s="1">
        <v>36803</v>
      </c>
      <c r="D167" s="8">
        <f ca="1">ROUND(YEARFRAC(NEET[[#This Row],[Date_of_Birth]],TODAY()),0)</f>
        <v>26</v>
      </c>
      <c r="E167" t="s">
        <v>42</v>
      </c>
      <c r="F167" t="s">
        <v>15</v>
      </c>
      <c r="G167" t="s">
        <v>25</v>
      </c>
      <c r="H167">
        <v>4</v>
      </c>
      <c r="I167">
        <v>169</v>
      </c>
      <c r="J167">
        <v>159</v>
      </c>
      <c r="K167">
        <v>319</v>
      </c>
      <c r="L167">
        <v>647</v>
      </c>
      <c r="M167">
        <v>2026</v>
      </c>
    </row>
    <row r="168" spans="1:13" x14ac:dyDescent="0.25">
      <c r="A168" t="s">
        <v>205</v>
      </c>
      <c r="B168" t="s">
        <v>13</v>
      </c>
      <c r="C168" s="1">
        <v>38055</v>
      </c>
      <c r="D168" s="8">
        <f ca="1">ROUND(YEARFRAC(NEET[[#This Row],[Date_of_Birth]],TODAY()),0)</f>
        <v>22</v>
      </c>
      <c r="E168" t="s">
        <v>24</v>
      </c>
      <c r="F168" t="s">
        <v>15</v>
      </c>
      <c r="G168" t="s">
        <v>16</v>
      </c>
      <c r="H168">
        <v>1</v>
      </c>
      <c r="I168">
        <v>34</v>
      </c>
      <c r="J168">
        <v>121</v>
      </c>
      <c r="K168">
        <v>94</v>
      </c>
      <c r="L168">
        <v>249</v>
      </c>
      <c r="M168">
        <v>2025</v>
      </c>
    </row>
    <row r="169" spans="1:13" x14ac:dyDescent="0.25">
      <c r="A169" t="s">
        <v>206</v>
      </c>
      <c r="B169" t="s">
        <v>20</v>
      </c>
      <c r="C169" s="1">
        <v>37072</v>
      </c>
      <c r="D169" s="8">
        <f ca="1">ROUND(YEARFRAC(NEET[[#This Row],[Date_of_Birth]],TODAY()),0)</f>
        <v>25</v>
      </c>
      <c r="E169" t="s">
        <v>53</v>
      </c>
      <c r="F169" t="s">
        <v>15</v>
      </c>
      <c r="G169" t="s">
        <v>22</v>
      </c>
      <c r="H169">
        <v>4</v>
      </c>
      <c r="I169">
        <v>120</v>
      </c>
      <c r="J169">
        <v>169</v>
      </c>
      <c r="K169">
        <v>233</v>
      </c>
      <c r="L169">
        <v>522</v>
      </c>
      <c r="M169">
        <v>2024</v>
      </c>
    </row>
    <row r="170" spans="1:13" x14ac:dyDescent="0.25">
      <c r="A170" t="s">
        <v>207</v>
      </c>
      <c r="B170" t="s">
        <v>13</v>
      </c>
      <c r="C170" s="1">
        <v>36784</v>
      </c>
      <c r="D170" s="8">
        <f ca="1">ROUND(YEARFRAC(NEET[[#This Row],[Date_of_Birth]],TODAY()),0)</f>
        <v>26</v>
      </c>
      <c r="E170" t="s">
        <v>36</v>
      </c>
      <c r="F170" t="s">
        <v>37</v>
      </c>
      <c r="G170" t="s">
        <v>25</v>
      </c>
      <c r="H170">
        <v>2</v>
      </c>
      <c r="I170">
        <v>147</v>
      </c>
      <c r="J170">
        <v>39</v>
      </c>
      <c r="K170">
        <v>210</v>
      </c>
      <c r="L170">
        <v>396</v>
      </c>
      <c r="M170">
        <v>2025</v>
      </c>
    </row>
    <row r="171" spans="1:13" x14ac:dyDescent="0.25">
      <c r="A171" t="s">
        <v>208</v>
      </c>
      <c r="B171" t="s">
        <v>13</v>
      </c>
      <c r="C171" s="1">
        <v>37796</v>
      </c>
      <c r="D171" s="8">
        <f ca="1">ROUND(YEARFRAC(NEET[[#This Row],[Date_of_Birth]],TODAY()),0)</f>
        <v>23</v>
      </c>
      <c r="E171" t="s">
        <v>42</v>
      </c>
      <c r="F171" t="s">
        <v>15</v>
      </c>
      <c r="G171" t="s">
        <v>29</v>
      </c>
      <c r="H171">
        <v>2</v>
      </c>
      <c r="I171">
        <v>131</v>
      </c>
      <c r="J171">
        <v>169</v>
      </c>
      <c r="K171">
        <v>302</v>
      </c>
      <c r="L171">
        <v>602</v>
      </c>
      <c r="M171">
        <v>2025</v>
      </c>
    </row>
    <row r="172" spans="1:13" x14ac:dyDescent="0.25">
      <c r="A172" t="s">
        <v>209</v>
      </c>
      <c r="B172" t="s">
        <v>20</v>
      </c>
      <c r="C172" s="1">
        <v>39724</v>
      </c>
      <c r="D172" s="8">
        <f ca="1">ROUND(YEARFRAC(NEET[[#This Row],[Date_of_Birth]],TODAY()),0)</f>
        <v>18</v>
      </c>
      <c r="E172" t="s">
        <v>53</v>
      </c>
      <c r="F172" t="s">
        <v>15</v>
      </c>
      <c r="G172" t="s">
        <v>34</v>
      </c>
      <c r="H172">
        <v>4</v>
      </c>
      <c r="I172">
        <v>114</v>
      </c>
      <c r="J172">
        <v>99</v>
      </c>
      <c r="K172">
        <v>123</v>
      </c>
      <c r="L172">
        <v>336</v>
      </c>
      <c r="M172">
        <v>2026</v>
      </c>
    </row>
    <row r="173" spans="1:13" x14ac:dyDescent="0.25">
      <c r="A173" t="s">
        <v>210</v>
      </c>
      <c r="B173" t="s">
        <v>13</v>
      </c>
      <c r="C173" s="1">
        <v>37914</v>
      </c>
      <c r="D173" s="8">
        <f ca="1">ROUND(YEARFRAC(NEET[[#This Row],[Date_of_Birth]],TODAY()),0)</f>
        <v>23</v>
      </c>
      <c r="E173" t="s">
        <v>40</v>
      </c>
      <c r="F173" t="s">
        <v>15</v>
      </c>
      <c r="G173" t="s">
        <v>25</v>
      </c>
      <c r="H173">
        <v>4</v>
      </c>
      <c r="I173">
        <v>157</v>
      </c>
      <c r="J173">
        <v>157</v>
      </c>
      <c r="K173">
        <v>248</v>
      </c>
      <c r="L173">
        <v>562</v>
      </c>
      <c r="M173">
        <v>2026</v>
      </c>
    </row>
    <row r="174" spans="1:13" x14ac:dyDescent="0.25">
      <c r="A174" t="s">
        <v>211</v>
      </c>
      <c r="B174" t="s">
        <v>13</v>
      </c>
      <c r="C174" s="1">
        <v>38993</v>
      </c>
      <c r="D174" s="8">
        <f ca="1">ROUND(YEARFRAC(NEET[[#This Row],[Date_of_Birth]],TODAY()),0)</f>
        <v>20</v>
      </c>
      <c r="E174" t="s">
        <v>31</v>
      </c>
      <c r="F174" t="s">
        <v>32</v>
      </c>
      <c r="G174" t="s">
        <v>29</v>
      </c>
      <c r="H174">
        <v>1</v>
      </c>
      <c r="I174">
        <v>76</v>
      </c>
      <c r="J174">
        <v>169</v>
      </c>
      <c r="K174">
        <v>210</v>
      </c>
      <c r="L174">
        <v>455</v>
      </c>
      <c r="M174">
        <v>2025</v>
      </c>
    </row>
    <row r="175" spans="1:13" x14ac:dyDescent="0.25">
      <c r="A175" t="s">
        <v>212</v>
      </c>
      <c r="B175" t="s">
        <v>20</v>
      </c>
      <c r="C175" s="1">
        <v>37781</v>
      </c>
      <c r="D175" s="8">
        <f ca="1">ROUND(YEARFRAC(NEET[[#This Row],[Date_of_Birth]],TODAY()),0)</f>
        <v>23</v>
      </c>
      <c r="E175" t="s">
        <v>73</v>
      </c>
      <c r="F175" t="s">
        <v>15</v>
      </c>
      <c r="G175" t="s">
        <v>29</v>
      </c>
      <c r="H175">
        <v>1</v>
      </c>
      <c r="I175">
        <v>139</v>
      </c>
      <c r="J175">
        <v>72</v>
      </c>
      <c r="K175">
        <v>287</v>
      </c>
      <c r="L175">
        <v>498</v>
      </c>
      <c r="M175">
        <v>2026</v>
      </c>
    </row>
    <row r="176" spans="1:13" x14ac:dyDescent="0.25">
      <c r="A176" t="s">
        <v>213</v>
      </c>
      <c r="B176" t="s">
        <v>13</v>
      </c>
      <c r="C176" s="1">
        <v>37650</v>
      </c>
      <c r="D176" s="8">
        <f ca="1">ROUND(YEARFRAC(NEET[[#This Row],[Date_of_Birth]],TODAY()),0)</f>
        <v>23</v>
      </c>
      <c r="E176" t="s">
        <v>21</v>
      </c>
      <c r="F176" t="s">
        <v>21</v>
      </c>
      <c r="G176" t="s">
        <v>22</v>
      </c>
      <c r="H176">
        <v>1</v>
      </c>
      <c r="I176">
        <v>44</v>
      </c>
      <c r="J176">
        <v>49</v>
      </c>
      <c r="K176">
        <v>267</v>
      </c>
      <c r="L176">
        <v>360</v>
      </c>
      <c r="M176">
        <v>2026</v>
      </c>
    </row>
    <row r="177" spans="1:13" x14ac:dyDescent="0.25">
      <c r="A177" t="s">
        <v>214</v>
      </c>
      <c r="B177" t="s">
        <v>20</v>
      </c>
      <c r="C177" s="1">
        <v>36668</v>
      </c>
      <c r="D177" s="8">
        <f ca="1">ROUND(YEARFRAC(NEET[[#This Row],[Date_of_Birth]],TODAY()),0)</f>
        <v>26</v>
      </c>
      <c r="E177" t="s">
        <v>40</v>
      </c>
      <c r="F177" t="s">
        <v>15</v>
      </c>
      <c r="G177" t="s">
        <v>16</v>
      </c>
      <c r="H177">
        <v>1</v>
      </c>
      <c r="I177">
        <v>47</v>
      </c>
      <c r="J177">
        <v>90</v>
      </c>
      <c r="K177">
        <v>247</v>
      </c>
      <c r="L177">
        <v>384</v>
      </c>
      <c r="M177">
        <v>2024</v>
      </c>
    </row>
    <row r="178" spans="1:13" x14ac:dyDescent="0.25">
      <c r="A178" t="s">
        <v>215</v>
      </c>
      <c r="B178" t="s">
        <v>13</v>
      </c>
      <c r="C178" s="1">
        <v>39307</v>
      </c>
      <c r="D178" s="8">
        <f ca="1">ROUND(YEARFRAC(NEET[[#This Row],[Date_of_Birth]],TODAY()),0)</f>
        <v>19</v>
      </c>
      <c r="E178" t="s">
        <v>73</v>
      </c>
      <c r="F178" t="s">
        <v>15</v>
      </c>
      <c r="G178" t="s">
        <v>34</v>
      </c>
      <c r="H178">
        <v>3</v>
      </c>
      <c r="I178">
        <v>124</v>
      </c>
      <c r="J178">
        <v>125</v>
      </c>
      <c r="K178">
        <v>287</v>
      </c>
      <c r="L178">
        <v>536</v>
      </c>
      <c r="M178">
        <v>2025</v>
      </c>
    </row>
    <row r="179" spans="1:13" x14ac:dyDescent="0.25">
      <c r="A179" t="s">
        <v>216</v>
      </c>
      <c r="B179" t="s">
        <v>20</v>
      </c>
      <c r="C179" s="1">
        <v>39186</v>
      </c>
      <c r="D179" s="8">
        <f ca="1">ROUND(YEARFRAC(NEET[[#This Row],[Date_of_Birth]],TODAY()),0)</f>
        <v>19</v>
      </c>
      <c r="E179" t="s">
        <v>24</v>
      </c>
      <c r="F179" t="s">
        <v>15</v>
      </c>
      <c r="G179" t="s">
        <v>16</v>
      </c>
      <c r="H179">
        <v>4</v>
      </c>
      <c r="I179">
        <v>93</v>
      </c>
      <c r="J179">
        <v>59</v>
      </c>
      <c r="K179">
        <v>73</v>
      </c>
      <c r="L179">
        <v>225</v>
      </c>
      <c r="M179">
        <v>2023</v>
      </c>
    </row>
    <row r="180" spans="1:13" x14ac:dyDescent="0.25">
      <c r="A180" t="s">
        <v>217</v>
      </c>
      <c r="B180" t="s">
        <v>20</v>
      </c>
      <c r="C180" s="1">
        <v>37598</v>
      </c>
      <c r="D180" s="8">
        <f ca="1">ROUND(YEARFRAC(NEET[[#This Row],[Date_of_Birth]],TODAY()),0)</f>
        <v>23</v>
      </c>
      <c r="E180" t="s">
        <v>69</v>
      </c>
      <c r="F180" t="s">
        <v>70</v>
      </c>
      <c r="G180" t="s">
        <v>25</v>
      </c>
      <c r="H180">
        <v>2</v>
      </c>
      <c r="I180">
        <v>96</v>
      </c>
      <c r="J180">
        <v>144</v>
      </c>
      <c r="K180">
        <v>169</v>
      </c>
      <c r="L180">
        <v>409</v>
      </c>
      <c r="M180">
        <v>2024</v>
      </c>
    </row>
    <row r="181" spans="1:13" x14ac:dyDescent="0.25">
      <c r="A181" t="s">
        <v>218</v>
      </c>
      <c r="B181" t="s">
        <v>20</v>
      </c>
      <c r="C181" s="1">
        <v>36829</v>
      </c>
      <c r="D181" s="8">
        <f ca="1">ROUND(YEARFRAC(NEET[[#This Row],[Date_of_Birth]],TODAY()),0)</f>
        <v>26</v>
      </c>
      <c r="E181" t="s">
        <v>73</v>
      </c>
      <c r="F181" t="s">
        <v>15</v>
      </c>
      <c r="G181" t="s">
        <v>16</v>
      </c>
      <c r="H181">
        <v>1</v>
      </c>
      <c r="I181">
        <v>74</v>
      </c>
      <c r="J181">
        <v>143</v>
      </c>
      <c r="K181">
        <v>104</v>
      </c>
      <c r="L181">
        <v>321</v>
      </c>
      <c r="M181">
        <v>2025</v>
      </c>
    </row>
    <row r="182" spans="1:13" x14ac:dyDescent="0.25">
      <c r="A182" t="s">
        <v>219</v>
      </c>
      <c r="B182" t="s">
        <v>13</v>
      </c>
      <c r="C182" s="1">
        <v>37754</v>
      </c>
      <c r="D182" s="8">
        <f ca="1">ROUND(YEARFRAC(NEET[[#This Row],[Date_of_Birth]],TODAY()),0)</f>
        <v>23</v>
      </c>
      <c r="E182" t="s">
        <v>31</v>
      </c>
      <c r="F182" t="s">
        <v>32</v>
      </c>
      <c r="G182" t="s">
        <v>22</v>
      </c>
      <c r="H182">
        <v>2</v>
      </c>
      <c r="I182">
        <v>70</v>
      </c>
      <c r="J182">
        <v>74</v>
      </c>
      <c r="K182">
        <v>245</v>
      </c>
      <c r="L182">
        <v>389</v>
      </c>
      <c r="M182">
        <v>2024</v>
      </c>
    </row>
    <row r="183" spans="1:13" x14ac:dyDescent="0.25">
      <c r="A183" t="s">
        <v>220</v>
      </c>
      <c r="B183" t="s">
        <v>20</v>
      </c>
      <c r="C183" s="1">
        <v>39763</v>
      </c>
      <c r="D183" s="8">
        <f ca="1">ROUND(YEARFRAC(NEET[[#This Row],[Date_of_Birth]],TODAY()),0)</f>
        <v>18</v>
      </c>
      <c r="E183" t="s">
        <v>73</v>
      </c>
      <c r="F183" t="s">
        <v>15</v>
      </c>
      <c r="G183" t="s">
        <v>16</v>
      </c>
      <c r="H183">
        <v>2</v>
      </c>
      <c r="I183">
        <v>36</v>
      </c>
      <c r="J183">
        <v>122</v>
      </c>
      <c r="K183">
        <v>343</v>
      </c>
      <c r="L183">
        <v>501</v>
      </c>
      <c r="M183">
        <v>2023</v>
      </c>
    </row>
    <row r="184" spans="1:13" x14ac:dyDescent="0.25">
      <c r="A184" t="s">
        <v>221</v>
      </c>
      <c r="B184" t="s">
        <v>20</v>
      </c>
      <c r="C184" s="1">
        <v>36795</v>
      </c>
      <c r="D184" s="8">
        <f ca="1">ROUND(YEARFRAC(NEET[[#This Row],[Date_of_Birth]],TODAY()),0)</f>
        <v>26</v>
      </c>
      <c r="E184" t="s">
        <v>24</v>
      </c>
      <c r="F184" t="s">
        <v>15</v>
      </c>
      <c r="G184" t="s">
        <v>22</v>
      </c>
      <c r="H184">
        <v>1</v>
      </c>
      <c r="I184">
        <v>131</v>
      </c>
      <c r="J184">
        <v>152</v>
      </c>
      <c r="K184">
        <v>329</v>
      </c>
      <c r="L184">
        <v>612</v>
      </c>
      <c r="M184">
        <v>2025</v>
      </c>
    </row>
    <row r="185" spans="1:13" x14ac:dyDescent="0.25">
      <c r="A185" t="s">
        <v>222</v>
      </c>
      <c r="B185" t="s">
        <v>13</v>
      </c>
      <c r="C185" s="1">
        <v>39157</v>
      </c>
      <c r="D185" s="8">
        <f ca="1">ROUND(YEARFRAC(NEET[[#This Row],[Date_of_Birth]],TODAY()),0)</f>
        <v>19</v>
      </c>
      <c r="E185" t="s">
        <v>14</v>
      </c>
      <c r="F185" t="s">
        <v>15</v>
      </c>
      <c r="G185" t="s">
        <v>22</v>
      </c>
      <c r="H185">
        <v>2</v>
      </c>
      <c r="I185">
        <v>145</v>
      </c>
      <c r="J185">
        <v>149</v>
      </c>
      <c r="K185">
        <v>324</v>
      </c>
      <c r="L185">
        <v>618</v>
      </c>
      <c r="M185">
        <v>2026</v>
      </c>
    </row>
    <row r="186" spans="1:13" x14ac:dyDescent="0.25">
      <c r="A186" t="s">
        <v>223</v>
      </c>
      <c r="B186" t="s">
        <v>20</v>
      </c>
      <c r="C186" s="1">
        <v>38585</v>
      </c>
      <c r="D186" s="8">
        <f ca="1">ROUND(YEARFRAC(NEET[[#This Row],[Date_of_Birth]],TODAY()),0)</f>
        <v>21</v>
      </c>
      <c r="E186" t="s">
        <v>48</v>
      </c>
      <c r="F186" t="s">
        <v>49</v>
      </c>
      <c r="G186" t="s">
        <v>22</v>
      </c>
      <c r="H186">
        <v>2</v>
      </c>
      <c r="I186">
        <v>44</v>
      </c>
      <c r="J186">
        <v>61</v>
      </c>
      <c r="K186">
        <v>325</v>
      </c>
      <c r="L186">
        <v>430</v>
      </c>
      <c r="M186">
        <v>2025</v>
      </c>
    </row>
    <row r="187" spans="1:13" x14ac:dyDescent="0.25">
      <c r="A187" t="s">
        <v>224</v>
      </c>
      <c r="B187" t="s">
        <v>20</v>
      </c>
      <c r="C187" s="1">
        <v>39431</v>
      </c>
      <c r="D187" s="8">
        <f ca="1">ROUND(YEARFRAC(NEET[[#This Row],[Date_of_Birth]],TODAY()),0)</f>
        <v>18</v>
      </c>
      <c r="E187" t="s">
        <v>62</v>
      </c>
      <c r="F187" t="s">
        <v>15</v>
      </c>
      <c r="G187" t="s">
        <v>16</v>
      </c>
      <c r="H187">
        <v>2</v>
      </c>
      <c r="I187">
        <v>118</v>
      </c>
      <c r="J187">
        <v>162</v>
      </c>
      <c r="K187">
        <v>205</v>
      </c>
      <c r="L187">
        <v>485</v>
      </c>
      <c r="M187">
        <v>2025</v>
      </c>
    </row>
    <row r="188" spans="1:13" x14ac:dyDescent="0.25">
      <c r="A188" t="s">
        <v>225</v>
      </c>
      <c r="B188" t="s">
        <v>13</v>
      </c>
      <c r="C188" s="1">
        <v>37038</v>
      </c>
      <c r="D188" s="8">
        <f ca="1">ROUND(YEARFRAC(NEET[[#This Row],[Date_of_Birth]],TODAY()),0)</f>
        <v>25</v>
      </c>
      <c r="E188" t="s">
        <v>21</v>
      </c>
      <c r="F188" t="s">
        <v>21</v>
      </c>
      <c r="G188" t="s">
        <v>16</v>
      </c>
      <c r="H188">
        <v>2</v>
      </c>
      <c r="I188">
        <v>107</v>
      </c>
      <c r="J188">
        <v>166</v>
      </c>
      <c r="K188">
        <v>107</v>
      </c>
      <c r="L188">
        <v>380</v>
      </c>
      <c r="M188">
        <v>2025</v>
      </c>
    </row>
    <row r="189" spans="1:13" x14ac:dyDescent="0.25">
      <c r="A189" t="s">
        <v>226</v>
      </c>
      <c r="B189" t="s">
        <v>13</v>
      </c>
      <c r="C189" s="1">
        <v>38834</v>
      </c>
      <c r="D189" s="8">
        <f ca="1">ROUND(YEARFRAC(NEET[[#This Row],[Date_of_Birth]],TODAY()),0)</f>
        <v>20</v>
      </c>
      <c r="E189" t="s">
        <v>53</v>
      </c>
      <c r="F189" t="s">
        <v>15</v>
      </c>
      <c r="G189" t="s">
        <v>16</v>
      </c>
      <c r="H189">
        <v>4</v>
      </c>
      <c r="I189">
        <v>37</v>
      </c>
      <c r="J189">
        <v>50</v>
      </c>
      <c r="K189">
        <v>83</v>
      </c>
      <c r="L189">
        <v>170</v>
      </c>
      <c r="M189">
        <v>2023</v>
      </c>
    </row>
    <row r="190" spans="1:13" x14ac:dyDescent="0.25">
      <c r="A190" t="s">
        <v>227</v>
      </c>
      <c r="B190" t="s">
        <v>13</v>
      </c>
      <c r="C190" s="1">
        <v>38565</v>
      </c>
      <c r="D190" s="8">
        <f ca="1">ROUND(YEARFRAC(NEET[[#This Row],[Date_of_Birth]],TODAY()),0)</f>
        <v>21</v>
      </c>
      <c r="E190" t="s">
        <v>48</v>
      </c>
      <c r="F190" t="s">
        <v>49</v>
      </c>
      <c r="G190" t="s">
        <v>29</v>
      </c>
      <c r="H190">
        <v>4</v>
      </c>
      <c r="I190">
        <v>169</v>
      </c>
      <c r="J190">
        <v>104</v>
      </c>
      <c r="K190">
        <v>214</v>
      </c>
      <c r="L190">
        <v>487</v>
      </c>
      <c r="M190">
        <v>2026</v>
      </c>
    </row>
    <row r="191" spans="1:13" x14ac:dyDescent="0.25">
      <c r="A191" t="s">
        <v>228</v>
      </c>
      <c r="B191" t="s">
        <v>20</v>
      </c>
      <c r="C191" s="1">
        <v>36824</v>
      </c>
      <c r="D191" s="8">
        <f ca="1">ROUND(YEARFRAC(NEET[[#This Row],[Date_of_Birth]],TODAY()),0)</f>
        <v>26</v>
      </c>
      <c r="E191" t="s">
        <v>36</v>
      </c>
      <c r="F191" t="s">
        <v>37</v>
      </c>
      <c r="G191" t="s">
        <v>22</v>
      </c>
      <c r="H191">
        <v>4</v>
      </c>
      <c r="I191">
        <v>45</v>
      </c>
      <c r="J191">
        <v>70</v>
      </c>
      <c r="K191">
        <v>285</v>
      </c>
      <c r="L191">
        <v>400</v>
      </c>
      <c r="M191">
        <v>2025</v>
      </c>
    </row>
    <row r="192" spans="1:13" x14ac:dyDescent="0.25">
      <c r="A192" t="s">
        <v>229</v>
      </c>
      <c r="B192" t="s">
        <v>13</v>
      </c>
      <c r="C192" s="1">
        <v>39010</v>
      </c>
      <c r="D192" s="8">
        <f ca="1">ROUND(YEARFRAC(NEET[[#This Row],[Date_of_Birth]],TODAY()),0)</f>
        <v>20</v>
      </c>
      <c r="E192" t="s">
        <v>40</v>
      </c>
      <c r="F192" t="s">
        <v>15</v>
      </c>
      <c r="G192" t="s">
        <v>16</v>
      </c>
      <c r="H192">
        <v>3</v>
      </c>
      <c r="I192">
        <v>110</v>
      </c>
      <c r="J192">
        <v>111</v>
      </c>
      <c r="K192">
        <v>236</v>
      </c>
      <c r="L192">
        <v>457</v>
      </c>
      <c r="M192">
        <v>2023</v>
      </c>
    </row>
    <row r="193" spans="1:13" x14ac:dyDescent="0.25">
      <c r="A193" t="s">
        <v>230</v>
      </c>
      <c r="B193" t="s">
        <v>13</v>
      </c>
      <c r="C193" s="1">
        <v>37833</v>
      </c>
      <c r="D193" s="8">
        <f ca="1">ROUND(YEARFRAC(NEET[[#This Row],[Date_of_Birth]],TODAY()),0)</f>
        <v>23</v>
      </c>
      <c r="E193" t="s">
        <v>62</v>
      </c>
      <c r="F193" t="s">
        <v>15</v>
      </c>
      <c r="G193" t="s">
        <v>25</v>
      </c>
      <c r="H193">
        <v>2</v>
      </c>
      <c r="I193">
        <v>149</v>
      </c>
      <c r="J193">
        <v>61</v>
      </c>
      <c r="K193">
        <v>196</v>
      </c>
      <c r="L193">
        <v>406</v>
      </c>
      <c r="M193">
        <v>2023</v>
      </c>
    </row>
    <row r="194" spans="1:13" x14ac:dyDescent="0.25">
      <c r="A194" t="s">
        <v>231</v>
      </c>
      <c r="B194" t="s">
        <v>20</v>
      </c>
      <c r="C194" s="1">
        <v>37714</v>
      </c>
      <c r="D194" s="8">
        <f ca="1">ROUND(YEARFRAC(NEET[[#This Row],[Date_of_Birth]],TODAY()),0)</f>
        <v>23</v>
      </c>
      <c r="E194" t="s">
        <v>18</v>
      </c>
      <c r="F194" t="s">
        <v>15</v>
      </c>
      <c r="G194" t="s">
        <v>22</v>
      </c>
      <c r="H194">
        <v>2</v>
      </c>
      <c r="I194">
        <v>137</v>
      </c>
      <c r="J194">
        <v>93</v>
      </c>
      <c r="K194">
        <v>141</v>
      </c>
      <c r="L194">
        <v>371</v>
      </c>
      <c r="M194">
        <v>2026</v>
      </c>
    </row>
    <row r="195" spans="1:13" x14ac:dyDescent="0.25">
      <c r="A195" t="s">
        <v>232</v>
      </c>
      <c r="B195" t="s">
        <v>13</v>
      </c>
      <c r="C195" s="1">
        <v>38634</v>
      </c>
      <c r="D195" s="8">
        <f ca="1">ROUND(YEARFRAC(NEET[[#This Row],[Date_of_Birth]],TODAY()),0)</f>
        <v>21</v>
      </c>
      <c r="E195" t="s">
        <v>73</v>
      </c>
      <c r="F195" t="s">
        <v>15</v>
      </c>
      <c r="G195" t="s">
        <v>16</v>
      </c>
      <c r="H195">
        <v>4</v>
      </c>
      <c r="I195">
        <v>157</v>
      </c>
      <c r="J195">
        <v>108</v>
      </c>
      <c r="K195">
        <v>314</v>
      </c>
      <c r="L195">
        <v>579</v>
      </c>
      <c r="M195">
        <v>2026</v>
      </c>
    </row>
    <row r="196" spans="1:13" x14ac:dyDescent="0.25">
      <c r="A196" t="s">
        <v>233</v>
      </c>
      <c r="B196" t="s">
        <v>20</v>
      </c>
      <c r="C196" s="1">
        <v>37512</v>
      </c>
      <c r="D196" s="8">
        <f ca="1">ROUND(YEARFRAC(NEET[[#This Row],[Date_of_Birth]],TODAY()),0)</f>
        <v>24</v>
      </c>
      <c r="E196" t="s">
        <v>62</v>
      </c>
      <c r="F196" t="s">
        <v>15</v>
      </c>
      <c r="G196" t="s">
        <v>16</v>
      </c>
      <c r="H196">
        <v>4</v>
      </c>
      <c r="I196">
        <v>179</v>
      </c>
      <c r="J196">
        <v>120</v>
      </c>
      <c r="K196">
        <v>84</v>
      </c>
      <c r="L196">
        <v>383</v>
      </c>
      <c r="M196">
        <v>2026</v>
      </c>
    </row>
    <row r="197" spans="1:13" x14ac:dyDescent="0.25">
      <c r="A197" t="s">
        <v>234</v>
      </c>
      <c r="B197" t="s">
        <v>20</v>
      </c>
      <c r="C197" s="1">
        <v>37696</v>
      </c>
      <c r="D197" s="8">
        <f ca="1">ROUND(YEARFRAC(NEET[[#This Row],[Date_of_Birth]],TODAY()),0)</f>
        <v>23</v>
      </c>
      <c r="E197" t="s">
        <v>42</v>
      </c>
      <c r="F197" t="s">
        <v>15</v>
      </c>
      <c r="G197" t="s">
        <v>34</v>
      </c>
      <c r="H197">
        <v>3</v>
      </c>
      <c r="I197">
        <v>32</v>
      </c>
      <c r="J197">
        <v>57</v>
      </c>
      <c r="K197">
        <v>280</v>
      </c>
      <c r="L197">
        <v>369</v>
      </c>
      <c r="M197">
        <v>2025</v>
      </c>
    </row>
    <row r="198" spans="1:13" x14ac:dyDescent="0.25">
      <c r="A198" t="s">
        <v>235</v>
      </c>
      <c r="B198" t="s">
        <v>20</v>
      </c>
      <c r="C198" s="1">
        <v>36711</v>
      </c>
      <c r="D198" s="8">
        <f ca="1">ROUND(YEARFRAC(NEET[[#This Row],[Date_of_Birth]],TODAY()),0)</f>
        <v>26</v>
      </c>
      <c r="E198" t="s">
        <v>18</v>
      </c>
      <c r="F198" t="s">
        <v>15</v>
      </c>
      <c r="G198" t="s">
        <v>25</v>
      </c>
      <c r="H198">
        <v>3</v>
      </c>
      <c r="I198">
        <v>43</v>
      </c>
      <c r="J198">
        <v>175</v>
      </c>
      <c r="K198">
        <v>347</v>
      </c>
      <c r="L198">
        <v>565</v>
      </c>
      <c r="M198">
        <v>2026</v>
      </c>
    </row>
    <row r="199" spans="1:13" x14ac:dyDescent="0.25">
      <c r="A199" t="s">
        <v>236</v>
      </c>
      <c r="B199" t="s">
        <v>13</v>
      </c>
      <c r="C199" s="1">
        <v>38591</v>
      </c>
      <c r="D199" s="8">
        <f ca="1">ROUND(YEARFRAC(NEET[[#This Row],[Date_of_Birth]],TODAY()),0)</f>
        <v>21</v>
      </c>
      <c r="E199" t="s">
        <v>73</v>
      </c>
      <c r="F199" t="s">
        <v>15</v>
      </c>
      <c r="G199" t="s">
        <v>29</v>
      </c>
      <c r="H199">
        <v>4</v>
      </c>
      <c r="I199">
        <v>170</v>
      </c>
      <c r="J199">
        <v>101</v>
      </c>
      <c r="K199">
        <v>120</v>
      </c>
      <c r="L199">
        <v>391</v>
      </c>
      <c r="M199">
        <v>2025</v>
      </c>
    </row>
    <row r="200" spans="1:13" x14ac:dyDescent="0.25">
      <c r="A200" t="s">
        <v>237</v>
      </c>
      <c r="B200" t="s">
        <v>13</v>
      </c>
      <c r="C200" s="1">
        <v>38810</v>
      </c>
      <c r="D200" s="8">
        <f ca="1">ROUND(YEARFRAC(NEET[[#This Row],[Date_of_Birth]],TODAY()),0)</f>
        <v>20</v>
      </c>
      <c r="E200" t="s">
        <v>46</v>
      </c>
      <c r="F200" t="s">
        <v>15</v>
      </c>
      <c r="G200" t="s">
        <v>25</v>
      </c>
      <c r="H200">
        <v>1</v>
      </c>
      <c r="I200">
        <v>66</v>
      </c>
      <c r="J200">
        <v>80</v>
      </c>
      <c r="K200">
        <v>320</v>
      </c>
      <c r="L200">
        <v>466</v>
      </c>
      <c r="M200">
        <v>2024</v>
      </c>
    </row>
    <row r="201" spans="1:13" x14ac:dyDescent="0.25">
      <c r="A201" t="s">
        <v>238</v>
      </c>
      <c r="B201" t="s">
        <v>13</v>
      </c>
      <c r="C201" s="1">
        <v>39448</v>
      </c>
      <c r="D201" s="8">
        <f ca="1">ROUND(YEARFRAC(NEET[[#This Row],[Date_of_Birth]],TODAY()),0)</f>
        <v>18</v>
      </c>
      <c r="E201" t="s">
        <v>46</v>
      </c>
      <c r="F201" t="s">
        <v>15</v>
      </c>
      <c r="G201" t="s">
        <v>16</v>
      </c>
      <c r="H201">
        <v>3</v>
      </c>
      <c r="I201">
        <v>151</v>
      </c>
      <c r="J201">
        <v>162</v>
      </c>
      <c r="K201">
        <v>293</v>
      </c>
      <c r="L201">
        <v>606</v>
      </c>
      <c r="M201">
        <v>2025</v>
      </c>
    </row>
    <row r="202" spans="1:13" x14ac:dyDescent="0.25">
      <c r="A202" t="s">
        <v>239</v>
      </c>
      <c r="B202" t="s">
        <v>20</v>
      </c>
      <c r="C202" s="1">
        <v>37191</v>
      </c>
      <c r="D202" s="8">
        <f ca="1">ROUND(YEARFRAC(NEET[[#This Row],[Date_of_Birth]],TODAY()),0)</f>
        <v>25</v>
      </c>
      <c r="E202" t="s">
        <v>18</v>
      </c>
      <c r="F202" t="s">
        <v>15</v>
      </c>
      <c r="G202" t="s">
        <v>25</v>
      </c>
      <c r="H202">
        <v>4</v>
      </c>
      <c r="I202">
        <v>106</v>
      </c>
      <c r="J202">
        <v>116</v>
      </c>
      <c r="K202">
        <v>319</v>
      </c>
      <c r="L202">
        <v>541</v>
      </c>
      <c r="M202">
        <v>2025</v>
      </c>
    </row>
    <row r="203" spans="1:13" x14ac:dyDescent="0.25">
      <c r="A203" t="s">
        <v>240</v>
      </c>
      <c r="B203" t="s">
        <v>13</v>
      </c>
      <c r="C203" s="1">
        <v>37882</v>
      </c>
      <c r="D203" s="8">
        <f ca="1">ROUND(YEARFRAC(NEET[[#This Row],[Date_of_Birth]],TODAY()),0)</f>
        <v>23</v>
      </c>
      <c r="E203" t="s">
        <v>21</v>
      </c>
      <c r="F203" t="s">
        <v>21</v>
      </c>
      <c r="G203" t="s">
        <v>29</v>
      </c>
      <c r="H203">
        <v>4</v>
      </c>
      <c r="I203">
        <v>58</v>
      </c>
      <c r="J203">
        <v>136</v>
      </c>
      <c r="K203">
        <v>358</v>
      </c>
      <c r="L203">
        <v>552</v>
      </c>
      <c r="M203">
        <v>2024</v>
      </c>
    </row>
    <row r="204" spans="1:13" x14ac:dyDescent="0.25">
      <c r="A204" t="s">
        <v>241</v>
      </c>
      <c r="B204" t="s">
        <v>13</v>
      </c>
      <c r="C204" s="1">
        <v>39480</v>
      </c>
      <c r="D204" s="8">
        <f ca="1">ROUND(YEARFRAC(NEET[[#This Row],[Date_of_Birth]],TODAY()),0)</f>
        <v>18</v>
      </c>
      <c r="E204" t="s">
        <v>53</v>
      </c>
      <c r="F204" t="s">
        <v>15</v>
      </c>
      <c r="G204" t="s">
        <v>25</v>
      </c>
      <c r="H204">
        <v>2</v>
      </c>
      <c r="I204">
        <v>179</v>
      </c>
      <c r="J204">
        <v>152</v>
      </c>
      <c r="K204">
        <v>147</v>
      </c>
      <c r="L204">
        <v>478</v>
      </c>
      <c r="M204">
        <v>2023</v>
      </c>
    </row>
    <row r="205" spans="1:13" x14ac:dyDescent="0.25">
      <c r="A205" t="s">
        <v>242</v>
      </c>
      <c r="B205" t="s">
        <v>20</v>
      </c>
      <c r="C205" s="1">
        <v>37307</v>
      </c>
      <c r="D205" s="8">
        <f ca="1">ROUND(YEARFRAC(NEET[[#This Row],[Date_of_Birth]],TODAY()),0)</f>
        <v>24</v>
      </c>
      <c r="E205" t="s">
        <v>53</v>
      </c>
      <c r="F205" t="s">
        <v>15</v>
      </c>
      <c r="G205" t="s">
        <v>34</v>
      </c>
      <c r="H205">
        <v>2</v>
      </c>
      <c r="I205">
        <v>142</v>
      </c>
      <c r="J205">
        <v>110</v>
      </c>
      <c r="K205">
        <v>274</v>
      </c>
      <c r="L205">
        <v>526</v>
      </c>
      <c r="M205">
        <v>2026</v>
      </c>
    </row>
    <row r="206" spans="1:13" x14ac:dyDescent="0.25">
      <c r="A206" t="s">
        <v>243</v>
      </c>
      <c r="B206" t="s">
        <v>20</v>
      </c>
      <c r="C206" s="1">
        <v>39539</v>
      </c>
      <c r="D206" s="8">
        <f ca="1">ROUND(YEARFRAC(NEET[[#This Row],[Date_of_Birth]],TODAY()),0)</f>
        <v>18</v>
      </c>
      <c r="E206" t="s">
        <v>36</v>
      </c>
      <c r="F206" t="s">
        <v>37</v>
      </c>
      <c r="G206" t="s">
        <v>16</v>
      </c>
      <c r="H206">
        <v>4</v>
      </c>
      <c r="I206">
        <v>45</v>
      </c>
      <c r="J206">
        <v>65</v>
      </c>
      <c r="K206">
        <v>325</v>
      </c>
      <c r="L206">
        <v>435</v>
      </c>
      <c r="M206">
        <v>2026</v>
      </c>
    </row>
    <row r="207" spans="1:13" x14ac:dyDescent="0.25">
      <c r="A207" t="s">
        <v>244</v>
      </c>
      <c r="B207" t="s">
        <v>20</v>
      </c>
      <c r="C207" s="1">
        <v>37811</v>
      </c>
      <c r="D207" s="8">
        <f ca="1">ROUND(YEARFRAC(NEET[[#This Row],[Date_of_Birth]],TODAY()),0)</f>
        <v>23</v>
      </c>
      <c r="E207" t="s">
        <v>40</v>
      </c>
      <c r="F207" t="s">
        <v>15</v>
      </c>
      <c r="G207" t="s">
        <v>22</v>
      </c>
      <c r="H207">
        <v>4</v>
      </c>
      <c r="I207">
        <v>147</v>
      </c>
      <c r="J207">
        <v>166</v>
      </c>
      <c r="K207">
        <v>235</v>
      </c>
      <c r="L207">
        <v>548</v>
      </c>
      <c r="M207">
        <v>2024</v>
      </c>
    </row>
    <row r="208" spans="1:13" x14ac:dyDescent="0.25">
      <c r="A208" t="s">
        <v>245</v>
      </c>
      <c r="B208" t="s">
        <v>13</v>
      </c>
      <c r="C208" s="1">
        <v>37668</v>
      </c>
      <c r="D208" s="8">
        <f ca="1">ROUND(YEARFRAC(NEET[[#This Row],[Date_of_Birth]],TODAY()),0)</f>
        <v>23</v>
      </c>
      <c r="E208" t="s">
        <v>42</v>
      </c>
      <c r="F208" t="s">
        <v>15</v>
      </c>
      <c r="G208" t="s">
        <v>29</v>
      </c>
      <c r="H208">
        <v>4</v>
      </c>
      <c r="I208">
        <v>106</v>
      </c>
      <c r="J208">
        <v>87</v>
      </c>
      <c r="K208">
        <v>212</v>
      </c>
      <c r="L208">
        <v>405</v>
      </c>
      <c r="M208">
        <v>2026</v>
      </c>
    </row>
    <row r="209" spans="1:13" x14ac:dyDescent="0.25">
      <c r="A209" t="s">
        <v>246</v>
      </c>
      <c r="B209" t="s">
        <v>20</v>
      </c>
      <c r="C209" s="1">
        <v>37954</v>
      </c>
      <c r="D209" s="8">
        <f ca="1">ROUND(YEARFRAC(NEET[[#This Row],[Date_of_Birth]],TODAY()),0)</f>
        <v>22</v>
      </c>
      <c r="E209" t="s">
        <v>42</v>
      </c>
      <c r="F209" t="s">
        <v>15</v>
      </c>
      <c r="G209" t="s">
        <v>22</v>
      </c>
      <c r="H209">
        <v>3</v>
      </c>
      <c r="I209">
        <v>100</v>
      </c>
      <c r="J209">
        <v>103</v>
      </c>
      <c r="K209">
        <v>122</v>
      </c>
      <c r="L209">
        <v>325</v>
      </c>
      <c r="M209">
        <v>2025</v>
      </c>
    </row>
    <row r="210" spans="1:13" x14ac:dyDescent="0.25">
      <c r="A210" t="s">
        <v>247</v>
      </c>
      <c r="B210" t="s">
        <v>20</v>
      </c>
      <c r="C210" s="1">
        <v>36698</v>
      </c>
      <c r="D210" s="8">
        <f ca="1">ROUND(YEARFRAC(NEET[[#This Row],[Date_of_Birth]],TODAY()),0)</f>
        <v>26</v>
      </c>
      <c r="E210" t="s">
        <v>24</v>
      </c>
      <c r="F210" t="s">
        <v>15</v>
      </c>
      <c r="G210" t="s">
        <v>22</v>
      </c>
      <c r="H210">
        <v>2</v>
      </c>
      <c r="I210">
        <v>50</v>
      </c>
      <c r="J210">
        <v>118</v>
      </c>
      <c r="K210">
        <v>286</v>
      </c>
      <c r="L210">
        <v>454</v>
      </c>
      <c r="M210">
        <v>2025</v>
      </c>
    </row>
    <row r="211" spans="1:13" x14ac:dyDescent="0.25">
      <c r="A211" t="s">
        <v>248</v>
      </c>
      <c r="B211" t="s">
        <v>13</v>
      </c>
      <c r="C211" s="1">
        <v>38828</v>
      </c>
      <c r="D211" s="8">
        <f ca="1">ROUND(YEARFRAC(NEET[[#This Row],[Date_of_Birth]],TODAY()),0)</f>
        <v>20</v>
      </c>
      <c r="E211" t="s">
        <v>36</v>
      </c>
      <c r="F211" t="s">
        <v>37</v>
      </c>
      <c r="G211" t="s">
        <v>16</v>
      </c>
      <c r="H211">
        <v>1</v>
      </c>
      <c r="I211">
        <v>99</v>
      </c>
      <c r="J211">
        <v>65</v>
      </c>
      <c r="K211">
        <v>115</v>
      </c>
      <c r="L211">
        <v>279</v>
      </c>
      <c r="M211">
        <v>2024</v>
      </c>
    </row>
    <row r="212" spans="1:13" x14ac:dyDescent="0.25">
      <c r="A212" t="s">
        <v>249</v>
      </c>
      <c r="B212" t="s">
        <v>20</v>
      </c>
      <c r="C212" s="1">
        <v>39139</v>
      </c>
      <c r="D212" s="8">
        <f ca="1">ROUND(YEARFRAC(NEET[[#This Row],[Date_of_Birth]],TODAY()),0)</f>
        <v>19</v>
      </c>
      <c r="E212" t="s">
        <v>62</v>
      </c>
      <c r="F212" t="s">
        <v>15</v>
      </c>
      <c r="G212" t="s">
        <v>22</v>
      </c>
      <c r="H212">
        <v>1</v>
      </c>
      <c r="I212">
        <v>43</v>
      </c>
      <c r="J212">
        <v>55</v>
      </c>
      <c r="K212">
        <v>271</v>
      </c>
      <c r="L212">
        <v>369</v>
      </c>
      <c r="M212">
        <v>2023</v>
      </c>
    </row>
    <row r="213" spans="1:13" x14ac:dyDescent="0.25">
      <c r="A213" t="s">
        <v>250</v>
      </c>
      <c r="B213" t="s">
        <v>13</v>
      </c>
      <c r="C213" s="1">
        <v>38780</v>
      </c>
      <c r="D213" s="8">
        <f ca="1">ROUND(YEARFRAC(NEET[[#This Row],[Date_of_Birth]],TODAY()),0)</f>
        <v>20</v>
      </c>
      <c r="E213" t="s">
        <v>48</v>
      </c>
      <c r="F213" t="s">
        <v>49</v>
      </c>
      <c r="G213" t="s">
        <v>29</v>
      </c>
      <c r="H213">
        <v>3</v>
      </c>
      <c r="I213">
        <v>70</v>
      </c>
      <c r="J213">
        <v>134</v>
      </c>
      <c r="K213">
        <v>303</v>
      </c>
      <c r="L213">
        <v>507</v>
      </c>
      <c r="M213">
        <v>2025</v>
      </c>
    </row>
    <row r="214" spans="1:13" x14ac:dyDescent="0.25">
      <c r="A214" t="s">
        <v>251</v>
      </c>
      <c r="B214" t="s">
        <v>13</v>
      </c>
      <c r="C214" s="1">
        <v>39171</v>
      </c>
      <c r="D214" s="8">
        <f ca="1">ROUND(YEARFRAC(NEET[[#This Row],[Date_of_Birth]],TODAY()),0)</f>
        <v>19</v>
      </c>
      <c r="E214" t="s">
        <v>53</v>
      </c>
      <c r="F214" t="s">
        <v>15</v>
      </c>
      <c r="G214" t="s">
        <v>22</v>
      </c>
      <c r="H214">
        <v>4</v>
      </c>
      <c r="I214">
        <v>52</v>
      </c>
      <c r="J214">
        <v>176</v>
      </c>
      <c r="K214">
        <v>178</v>
      </c>
      <c r="L214">
        <v>406</v>
      </c>
      <c r="M214">
        <v>2023</v>
      </c>
    </row>
    <row r="215" spans="1:13" x14ac:dyDescent="0.25">
      <c r="A215" t="s">
        <v>252</v>
      </c>
      <c r="B215" t="s">
        <v>13</v>
      </c>
      <c r="C215" s="1">
        <v>38152</v>
      </c>
      <c r="D215" s="8">
        <f ca="1">ROUND(YEARFRAC(NEET[[#This Row],[Date_of_Birth]],TODAY()),0)</f>
        <v>22</v>
      </c>
      <c r="E215" t="s">
        <v>69</v>
      </c>
      <c r="F215" t="s">
        <v>70</v>
      </c>
      <c r="G215" t="s">
        <v>16</v>
      </c>
      <c r="H215">
        <v>3</v>
      </c>
      <c r="I215">
        <v>156</v>
      </c>
      <c r="J215">
        <v>77</v>
      </c>
      <c r="K215">
        <v>208</v>
      </c>
      <c r="L215">
        <v>441</v>
      </c>
      <c r="M215">
        <v>2023</v>
      </c>
    </row>
    <row r="216" spans="1:13" x14ac:dyDescent="0.25">
      <c r="A216" t="s">
        <v>253</v>
      </c>
      <c r="B216" t="s">
        <v>13</v>
      </c>
      <c r="C216" s="1">
        <v>37898</v>
      </c>
      <c r="D216" s="8">
        <f ca="1">ROUND(YEARFRAC(NEET[[#This Row],[Date_of_Birth]],TODAY()),0)</f>
        <v>23</v>
      </c>
      <c r="E216" t="s">
        <v>24</v>
      </c>
      <c r="F216" t="s">
        <v>15</v>
      </c>
      <c r="G216" t="s">
        <v>29</v>
      </c>
      <c r="H216">
        <v>4</v>
      </c>
      <c r="I216">
        <v>146</v>
      </c>
      <c r="J216">
        <v>169</v>
      </c>
      <c r="K216">
        <v>328</v>
      </c>
      <c r="L216">
        <v>643</v>
      </c>
      <c r="M216">
        <v>2024</v>
      </c>
    </row>
    <row r="217" spans="1:13" x14ac:dyDescent="0.25">
      <c r="A217" t="s">
        <v>254</v>
      </c>
      <c r="B217" t="s">
        <v>13</v>
      </c>
      <c r="C217" s="1">
        <v>36987</v>
      </c>
      <c r="D217" s="8">
        <f ca="1">ROUND(YEARFRAC(NEET[[#This Row],[Date_of_Birth]],TODAY()),0)</f>
        <v>25</v>
      </c>
      <c r="E217" t="s">
        <v>46</v>
      </c>
      <c r="F217" t="s">
        <v>15</v>
      </c>
      <c r="G217" t="s">
        <v>29</v>
      </c>
      <c r="H217">
        <v>3</v>
      </c>
      <c r="I217">
        <v>71</v>
      </c>
      <c r="J217">
        <v>147</v>
      </c>
      <c r="K217">
        <v>191</v>
      </c>
      <c r="L217">
        <v>409</v>
      </c>
      <c r="M217">
        <v>2024</v>
      </c>
    </row>
    <row r="218" spans="1:13" x14ac:dyDescent="0.25">
      <c r="A218" t="s">
        <v>255</v>
      </c>
      <c r="B218" t="s">
        <v>13</v>
      </c>
      <c r="C218" s="1">
        <v>37244</v>
      </c>
      <c r="D218" s="8">
        <f ca="1">ROUND(YEARFRAC(NEET[[#This Row],[Date_of_Birth]],TODAY()),0)</f>
        <v>24</v>
      </c>
      <c r="E218" t="s">
        <v>27</v>
      </c>
      <c r="F218" t="s">
        <v>15</v>
      </c>
      <c r="G218" t="s">
        <v>25</v>
      </c>
      <c r="H218">
        <v>4</v>
      </c>
      <c r="I218">
        <v>133</v>
      </c>
      <c r="J218">
        <v>139</v>
      </c>
      <c r="K218">
        <v>323</v>
      </c>
      <c r="L218">
        <v>595</v>
      </c>
      <c r="M218">
        <v>2024</v>
      </c>
    </row>
    <row r="219" spans="1:13" x14ac:dyDescent="0.25">
      <c r="A219" t="s">
        <v>256</v>
      </c>
      <c r="B219" t="s">
        <v>20</v>
      </c>
      <c r="C219" s="1">
        <v>37101</v>
      </c>
      <c r="D219" s="8">
        <f ca="1">ROUND(YEARFRAC(NEET[[#This Row],[Date_of_Birth]],TODAY()),0)</f>
        <v>25</v>
      </c>
      <c r="E219" t="s">
        <v>73</v>
      </c>
      <c r="F219" t="s">
        <v>15</v>
      </c>
      <c r="G219" t="s">
        <v>34</v>
      </c>
      <c r="H219">
        <v>2</v>
      </c>
      <c r="I219">
        <v>112</v>
      </c>
      <c r="J219">
        <v>93</v>
      </c>
      <c r="K219">
        <v>63</v>
      </c>
      <c r="L219">
        <v>268</v>
      </c>
      <c r="M219">
        <v>2025</v>
      </c>
    </row>
    <row r="220" spans="1:13" x14ac:dyDescent="0.25">
      <c r="A220" t="s">
        <v>257</v>
      </c>
      <c r="B220" t="s">
        <v>20</v>
      </c>
      <c r="C220" s="1">
        <v>37876</v>
      </c>
      <c r="D220" s="8">
        <f ca="1">ROUND(YEARFRAC(NEET[[#This Row],[Date_of_Birth]],TODAY()),0)</f>
        <v>23</v>
      </c>
      <c r="E220" t="s">
        <v>24</v>
      </c>
      <c r="F220" t="s">
        <v>15</v>
      </c>
      <c r="G220" t="s">
        <v>25</v>
      </c>
      <c r="H220">
        <v>2</v>
      </c>
      <c r="I220">
        <v>179</v>
      </c>
      <c r="J220">
        <v>176</v>
      </c>
      <c r="K220">
        <v>65</v>
      </c>
      <c r="L220">
        <v>420</v>
      </c>
      <c r="M220">
        <v>2023</v>
      </c>
    </row>
    <row r="221" spans="1:13" x14ac:dyDescent="0.25">
      <c r="A221" t="s">
        <v>258</v>
      </c>
      <c r="B221" t="s">
        <v>13</v>
      </c>
      <c r="C221" s="1">
        <v>38432</v>
      </c>
      <c r="D221" s="8">
        <f ca="1">ROUND(YEARFRAC(NEET[[#This Row],[Date_of_Birth]],TODAY()),0)</f>
        <v>21</v>
      </c>
      <c r="E221" t="s">
        <v>24</v>
      </c>
      <c r="F221" t="s">
        <v>15</v>
      </c>
      <c r="G221" t="s">
        <v>29</v>
      </c>
      <c r="H221">
        <v>3</v>
      </c>
      <c r="I221">
        <v>70</v>
      </c>
      <c r="J221">
        <v>133</v>
      </c>
      <c r="K221">
        <v>317</v>
      </c>
      <c r="L221">
        <v>520</v>
      </c>
      <c r="M221">
        <v>2024</v>
      </c>
    </row>
    <row r="222" spans="1:13" x14ac:dyDescent="0.25">
      <c r="A222" t="s">
        <v>259</v>
      </c>
      <c r="B222" t="s">
        <v>20</v>
      </c>
      <c r="C222" s="1">
        <v>37423</v>
      </c>
      <c r="D222" s="8">
        <f ca="1">ROUND(YEARFRAC(NEET[[#This Row],[Date_of_Birth]],TODAY()),0)</f>
        <v>24</v>
      </c>
      <c r="E222" t="s">
        <v>40</v>
      </c>
      <c r="F222" t="s">
        <v>15</v>
      </c>
      <c r="G222" t="s">
        <v>16</v>
      </c>
      <c r="H222">
        <v>4</v>
      </c>
      <c r="I222">
        <v>152</v>
      </c>
      <c r="J222">
        <v>69</v>
      </c>
      <c r="K222">
        <v>292</v>
      </c>
      <c r="L222">
        <v>513</v>
      </c>
      <c r="M222">
        <v>2024</v>
      </c>
    </row>
    <row r="223" spans="1:13" x14ac:dyDescent="0.25">
      <c r="A223" t="s">
        <v>260</v>
      </c>
      <c r="B223" t="s">
        <v>13</v>
      </c>
      <c r="C223" s="1">
        <v>39646</v>
      </c>
      <c r="D223" s="8">
        <f ca="1">ROUND(YEARFRAC(NEET[[#This Row],[Date_of_Birth]],TODAY()),0)</f>
        <v>18</v>
      </c>
      <c r="E223" t="s">
        <v>62</v>
      </c>
      <c r="F223" t="s">
        <v>15</v>
      </c>
      <c r="G223" t="s">
        <v>25</v>
      </c>
      <c r="H223">
        <v>1</v>
      </c>
      <c r="I223">
        <v>50</v>
      </c>
      <c r="J223">
        <v>164</v>
      </c>
      <c r="K223">
        <v>288</v>
      </c>
      <c r="L223">
        <v>502</v>
      </c>
      <c r="M223">
        <v>2024</v>
      </c>
    </row>
    <row r="224" spans="1:13" x14ac:dyDescent="0.25">
      <c r="A224" t="s">
        <v>261</v>
      </c>
      <c r="B224" t="s">
        <v>13</v>
      </c>
      <c r="C224" s="1">
        <v>38871</v>
      </c>
      <c r="D224" s="8">
        <f ca="1">ROUND(YEARFRAC(NEET[[#This Row],[Date_of_Birth]],TODAY()),0)</f>
        <v>20</v>
      </c>
      <c r="E224" t="s">
        <v>42</v>
      </c>
      <c r="F224" t="s">
        <v>15</v>
      </c>
      <c r="G224" t="s">
        <v>16</v>
      </c>
      <c r="H224">
        <v>2</v>
      </c>
      <c r="I224">
        <v>68</v>
      </c>
      <c r="J224">
        <v>72</v>
      </c>
      <c r="K224">
        <v>227</v>
      </c>
      <c r="L224">
        <v>367</v>
      </c>
      <c r="M224">
        <v>2026</v>
      </c>
    </row>
    <row r="225" spans="1:13" x14ac:dyDescent="0.25">
      <c r="A225" t="s">
        <v>262</v>
      </c>
      <c r="B225" t="s">
        <v>13</v>
      </c>
      <c r="C225" s="1">
        <v>36898</v>
      </c>
      <c r="D225" s="8">
        <f ca="1">ROUND(YEARFRAC(NEET[[#This Row],[Date_of_Birth]],TODAY()),0)</f>
        <v>25</v>
      </c>
      <c r="E225" t="s">
        <v>48</v>
      </c>
      <c r="F225" t="s">
        <v>49</v>
      </c>
      <c r="G225" t="s">
        <v>34</v>
      </c>
      <c r="H225">
        <v>4</v>
      </c>
      <c r="I225">
        <v>160</v>
      </c>
      <c r="J225">
        <v>144</v>
      </c>
      <c r="K225">
        <v>88</v>
      </c>
      <c r="L225">
        <v>392</v>
      </c>
      <c r="M225">
        <v>2023</v>
      </c>
    </row>
    <row r="226" spans="1:13" x14ac:dyDescent="0.25">
      <c r="A226" t="s">
        <v>263</v>
      </c>
      <c r="B226" t="s">
        <v>13</v>
      </c>
      <c r="C226" s="1">
        <v>38814</v>
      </c>
      <c r="D226" s="8">
        <f ca="1">ROUND(YEARFRAC(NEET[[#This Row],[Date_of_Birth]],TODAY()),0)</f>
        <v>20</v>
      </c>
      <c r="E226" t="s">
        <v>73</v>
      </c>
      <c r="F226" t="s">
        <v>15</v>
      </c>
      <c r="G226" t="s">
        <v>16</v>
      </c>
      <c r="H226">
        <v>2</v>
      </c>
      <c r="I226">
        <v>108</v>
      </c>
      <c r="J226">
        <v>35</v>
      </c>
      <c r="K226">
        <v>262</v>
      </c>
      <c r="L226">
        <v>405</v>
      </c>
      <c r="M226">
        <v>2023</v>
      </c>
    </row>
    <row r="227" spans="1:13" x14ac:dyDescent="0.25">
      <c r="A227" t="s">
        <v>264</v>
      </c>
      <c r="B227" t="s">
        <v>13</v>
      </c>
      <c r="C227" s="1">
        <v>36711</v>
      </c>
      <c r="D227" s="8">
        <f ca="1">ROUND(YEARFRAC(NEET[[#This Row],[Date_of_Birth]],TODAY()),0)</f>
        <v>26</v>
      </c>
      <c r="E227" t="s">
        <v>18</v>
      </c>
      <c r="F227" t="s">
        <v>15</v>
      </c>
      <c r="G227" t="s">
        <v>25</v>
      </c>
      <c r="H227">
        <v>4</v>
      </c>
      <c r="I227">
        <v>118</v>
      </c>
      <c r="J227">
        <v>46</v>
      </c>
      <c r="K227">
        <v>337</v>
      </c>
      <c r="L227">
        <v>501</v>
      </c>
      <c r="M227">
        <v>2025</v>
      </c>
    </row>
    <row r="228" spans="1:13" x14ac:dyDescent="0.25">
      <c r="A228" t="s">
        <v>265</v>
      </c>
      <c r="B228" t="s">
        <v>20</v>
      </c>
      <c r="C228" s="1">
        <v>38200</v>
      </c>
      <c r="D228" s="8">
        <f ca="1">ROUND(YEARFRAC(NEET[[#This Row],[Date_of_Birth]],TODAY()),0)</f>
        <v>22</v>
      </c>
      <c r="E228" t="s">
        <v>40</v>
      </c>
      <c r="F228" t="s">
        <v>15</v>
      </c>
      <c r="G228" t="s">
        <v>34</v>
      </c>
      <c r="H228">
        <v>4</v>
      </c>
      <c r="I228">
        <v>64</v>
      </c>
      <c r="J228">
        <v>137</v>
      </c>
      <c r="K228">
        <v>251</v>
      </c>
      <c r="L228">
        <v>452</v>
      </c>
      <c r="M228">
        <v>2023</v>
      </c>
    </row>
    <row r="229" spans="1:13" x14ac:dyDescent="0.25">
      <c r="A229" t="s">
        <v>266</v>
      </c>
      <c r="B229" t="s">
        <v>13</v>
      </c>
      <c r="C229" s="1">
        <v>39322</v>
      </c>
      <c r="D229" s="8">
        <f ca="1">ROUND(YEARFRAC(NEET[[#This Row],[Date_of_Birth]],TODAY()),0)</f>
        <v>19</v>
      </c>
      <c r="E229" t="s">
        <v>21</v>
      </c>
      <c r="F229" t="s">
        <v>21</v>
      </c>
      <c r="G229" t="s">
        <v>16</v>
      </c>
      <c r="H229">
        <v>4</v>
      </c>
      <c r="I229">
        <v>168</v>
      </c>
      <c r="J229">
        <v>64</v>
      </c>
      <c r="K229">
        <v>238</v>
      </c>
      <c r="L229">
        <v>470</v>
      </c>
      <c r="M229">
        <v>2024</v>
      </c>
    </row>
    <row r="230" spans="1:13" x14ac:dyDescent="0.25">
      <c r="A230" t="s">
        <v>267</v>
      </c>
      <c r="B230" t="s">
        <v>20</v>
      </c>
      <c r="C230" s="1">
        <v>39507</v>
      </c>
      <c r="D230" s="8">
        <f ca="1">ROUND(YEARFRAC(NEET[[#This Row],[Date_of_Birth]],TODAY()),0)</f>
        <v>18</v>
      </c>
      <c r="E230" t="s">
        <v>62</v>
      </c>
      <c r="F230" t="s">
        <v>15</v>
      </c>
      <c r="G230" t="s">
        <v>22</v>
      </c>
      <c r="H230">
        <v>4</v>
      </c>
      <c r="I230">
        <v>30</v>
      </c>
      <c r="J230">
        <v>35</v>
      </c>
      <c r="K230">
        <v>212</v>
      </c>
      <c r="L230">
        <v>277</v>
      </c>
      <c r="M230">
        <v>2024</v>
      </c>
    </row>
    <row r="231" spans="1:13" x14ac:dyDescent="0.25">
      <c r="A231" t="s">
        <v>268</v>
      </c>
      <c r="B231" t="s">
        <v>13</v>
      </c>
      <c r="C231" s="1">
        <v>38412</v>
      </c>
      <c r="D231" s="8">
        <f ca="1">ROUND(YEARFRAC(NEET[[#This Row],[Date_of_Birth]],TODAY()),0)</f>
        <v>21</v>
      </c>
      <c r="E231" t="s">
        <v>46</v>
      </c>
      <c r="F231" t="s">
        <v>15</v>
      </c>
      <c r="G231" t="s">
        <v>16</v>
      </c>
      <c r="H231">
        <v>4</v>
      </c>
      <c r="I231">
        <v>69</v>
      </c>
      <c r="J231">
        <v>100</v>
      </c>
      <c r="K231">
        <v>156</v>
      </c>
      <c r="L231">
        <v>325</v>
      </c>
      <c r="M231">
        <v>2023</v>
      </c>
    </row>
    <row r="232" spans="1:13" x14ac:dyDescent="0.25">
      <c r="A232" t="s">
        <v>269</v>
      </c>
      <c r="B232" t="s">
        <v>13</v>
      </c>
      <c r="C232" s="1">
        <v>37511</v>
      </c>
      <c r="D232" s="8">
        <f ca="1">ROUND(YEARFRAC(NEET[[#This Row],[Date_of_Birth]],TODAY()),0)</f>
        <v>24</v>
      </c>
      <c r="E232" t="s">
        <v>62</v>
      </c>
      <c r="F232" t="s">
        <v>15</v>
      </c>
      <c r="G232" t="s">
        <v>25</v>
      </c>
      <c r="H232">
        <v>2</v>
      </c>
      <c r="I232">
        <v>47</v>
      </c>
      <c r="J232">
        <v>55</v>
      </c>
      <c r="K232">
        <v>77</v>
      </c>
      <c r="L232">
        <v>179</v>
      </c>
      <c r="M232">
        <v>2026</v>
      </c>
    </row>
    <row r="233" spans="1:13" x14ac:dyDescent="0.25">
      <c r="A233" t="s">
        <v>270</v>
      </c>
      <c r="B233" t="s">
        <v>20</v>
      </c>
      <c r="C233" s="1">
        <v>38323</v>
      </c>
      <c r="D233" s="8">
        <f ca="1">ROUND(YEARFRAC(NEET[[#This Row],[Date_of_Birth]],TODAY()),0)</f>
        <v>21</v>
      </c>
      <c r="E233" t="s">
        <v>62</v>
      </c>
      <c r="F233" t="s">
        <v>15</v>
      </c>
      <c r="G233" t="s">
        <v>16</v>
      </c>
      <c r="H233">
        <v>2</v>
      </c>
      <c r="I233">
        <v>168</v>
      </c>
      <c r="J233">
        <v>85</v>
      </c>
      <c r="K233">
        <v>88</v>
      </c>
      <c r="L233">
        <v>341</v>
      </c>
      <c r="M233">
        <v>2025</v>
      </c>
    </row>
    <row r="234" spans="1:13" x14ac:dyDescent="0.25">
      <c r="A234" t="s">
        <v>271</v>
      </c>
      <c r="B234" t="s">
        <v>13</v>
      </c>
      <c r="C234" s="1">
        <v>38891</v>
      </c>
      <c r="D234" s="8">
        <f ca="1">ROUND(YEARFRAC(NEET[[#This Row],[Date_of_Birth]],TODAY()),0)</f>
        <v>20</v>
      </c>
      <c r="E234" t="s">
        <v>27</v>
      </c>
      <c r="F234" t="s">
        <v>15</v>
      </c>
      <c r="G234" t="s">
        <v>29</v>
      </c>
      <c r="H234">
        <v>4</v>
      </c>
      <c r="I234">
        <v>112</v>
      </c>
      <c r="J234">
        <v>90</v>
      </c>
      <c r="K234">
        <v>214</v>
      </c>
      <c r="L234">
        <v>416</v>
      </c>
      <c r="M234">
        <v>2025</v>
      </c>
    </row>
    <row r="235" spans="1:13" x14ac:dyDescent="0.25">
      <c r="A235" t="s">
        <v>272</v>
      </c>
      <c r="B235" t="s">
        <v>13</v>
      </c>
      <c r="C235" s="1">
        <v>36775</v>
      </c>
      <c r="D235" s="8">
        <f ca="1">ROUND(YEARFRAC(NEET[[#This Row],[Date_of_Birth]],TODAY()),0)</f>
        <v>26</v>
      </c>
      <c r="E235" t="s">
        <v>42</v>
      </c>
      <c r="F235" t="s">
        <v>15</v>
      </c>
      <c r="G235" t="s">
        <v>34</v>
      </c>
      <c r="H235">
        <v>3</v>
      </c>
      <c r="I235">
        <v>74</v>
      </c>
      <c r="J235">
        <v>139</v>
      </c>
      <c r="K235">
        <v>344</v>
      </c>
      <c r="L235">
        <v>557</v>
      </c>
      <c r="M235">
        <v>2025</v>
      </c>
    </row>
    <row r="236" spans="1:13" x14ac:dyDescent="0.25">
      <c r="A236" t="s">
        <v>273</v>
      </c>
      <c r="B236" t="s">
        <v>13</v>
      </c>
      <c r="C236" s="1">
        <v>39378</v>
      </c>
      <c r="D236" s="8">
        <f ca="1">ROUND(YEARFRAC(NEET[[#This Row],[Date_of_Birth]],TODAY()),0)</f>
        <v>19</v>
      </c>
      <c r="E236" t="s">
        <v>18</v>
      </c>
      <c r="F236" t="s">
        <v>15</v>
      </c>
      <c r="G236" t="s">
        <v>22</v>
      </c>
      <c r="H236">
        <v>4</v>
      </c>
      <c r="I236">
        <v>134</v>
      </c>
      <c r="J236">
        <v>68</v>
      </c>
      <c r="K236">
        <v>213</v>
      </c>
      <c r="L236">
        <v>415</v>
      </c>
      <c r="M236">
        <v>2024</v>
      </c>
    </row>
    <row r="237" spans="1:13" x14ac:dyDescent="0.25">
      <c r="A237" t="s">
        <v>274</v>
      </c>
      <c r="B237" t="s">
        <v>20</v>
      </c>
      <c r="C237" s="1">
        <v>37757</v>
      </c>
      <c r="D237" s="8">
        <f ca="1">ROUND(YEARFRAC(NEET[[#This Row],[Date_of_Birth]],TODAY()),0)</f>
        <v>23</v>
      </c>
      <c r="E237" t="s">
        <v>31</v>
      </c>
      <c r="F237" t="s">
        <v>32</v>
      </c>
      <c r="G237" t="s">
        <v>34</v>
      </c>
      <c r="H237">
        <v>2</v>
      </c>
      <c r="I237">
        <v>66</v>
      </c>
      <c r="J237">
        <v>148</v>
      </c>
      <c r="K237">
        <v>89</v>
      </c>
      <c r="L237">
        <v>303</v>
      </c>
      <c r="M237">
        <v>2024</v>
      </c>
    </row>
    <row r="238" spans="1:13" x14ac:dyDescent="0.25">
      <c r="A238" t="s">
        <v>275</v>
      </c>
      <c r="B238" t="s">
        <v>13</v>
      </c>
      <c r="C238" s="1">
        <v>37570</v>
      </c>
      <c r="D238" s="8">
        <f ca="1">ROUND(YEARFRAC(NEET[[#This Row],[Date_of_Birth]],TODAY()),0)</f>
        <v>24</v>
      </c>
      <c r="E238" t="s">
        <v>62</v>
      </c>
      <c r="F238" t="s">
        <v>15</v>
      </c>
      <c r="G238" t="s">
        <v>25</v>
      </c>
      <c r="H238">
        <v>2</v>
      </c>
      <c r="I238">
        <v>114</v>
      </c>
      <c r="J238">
        <v>50</v>
      </c>
      <c r="K238">
        <v>290</v>
      </c>
      <c r="L238">
        <v>454</v>
      </c>
      <c r="M238">
        <v>2025</v>
      </c>
    </row>
    <row r="239" spans="1:13" x14ac:dyDescent="0.25">
      <c r="A239" t="s">
        <v>276</v>
      </c>
      <c r="B239" t="s">
        <v>20</v>
      </c>
      <c r="C239" s="1">
        <v>38070</v>
      </c>
      <c r="D239" s="8">
        <f ca="1">ROUND(YEARFRAC(NEET[[#This Row],[Date_of_Birth]],TODAY()),0)</f>
        <v>22</v>
      </c>
      <c r="E239" t="s">
        <v>21</v>
      </c>
      <c r="F239" t="s">
        <v>21</v>
      </c>
      <c r="G239" t="s">
        <v>29</v>
      </c>
      <c r="H239">
        <v>2</v>
      </c>
      <c r="I239">
        <v>40</v>
      </c>
      <c r="J239">
        <v>48</v>
      </c>
      <c r="K239">
        <v>156</v>
      </c>
      <c r="L239">
        <v>244</v>
      </c>
      <c r="M239">
        <v>2025</v>
      </c>
    </row>
    <row r="240" spans="1:13" x14ac:dyDescent="0.25">
      <c r="A240" t="s">
        <v>277</v>
      </c>
      <c r="B240" t="s">
        <v>13</v>
      </c>
      <c r="C240" s="1">
        <v>36588</v>
      </c>
      <c r="D240" s="8">
        <f ca="1">ROUND(YEARFRAC(NEET[[#This Row],[Date_of_Birth]],TODAY()),0)</f>
        <v>26</v>
      </c>
      <c r="E240" t="s">
        <v>62</v>
      </c>
      <c r="F240" t="s">
        <v>15</v>
      </c>
      <c r="G240" t="s">
        <v>22</v>
      </c>
      <c r="H240">
        <v>4</v>
      </c>
      <c r="I240">
        <v>78</v>
      </c>
      <c r="J240">
        <v>60</v>
      </c>
      <c r="K240">
        <v>305</v>
      </c>
      <c r="L240">
        <v>443</v>
      </c>
      <c r="M240">
        <v>2025</v>
      </c>
    </row>
    <row r="241" spans="1:13" x14ac:dyDescent="0.25">
      <c r="A241" t="s">
        <v>278</v>
      </c>
      <c r="B241" t="s">
        <v>20</v>
      </c>
      <c r="C241" s="1">
        <v>39702</v>
      </c>
      <c r="D241" s="8">
        <f ca="1">ROUND(YEARFRAC(NEET[[#This Row],[Date_of_Birth]],TODAY()),0)</f>
        <v>18</v>
      </c>
      <c r="E241" t="s">
        <v>24</v>
      </c>
      <c r="F241" t="s">
        <v>15</v>
      </c>
      <c r="G241" t="s">
        <v>29</v>
      </c>
      <c r="H241">
        <v>3</v>
      </c>
      <c r="I241">
        <v>127</v>
      </c>
      <c r="J241">
        <v>149</v>
      </c>
      <c r="K241">
        <v>333</v>
      </c>
      <c r="L241">
        <v>609</v>
      </c>
      <c r="M241">
        <v>2026</v>
      </c>
    </row>
    <row r="242" spans="1:13" x14ac:dyDescent="0.25">
      <c r="A242" t="s">
        <v>279</v>
      </c>
      <c r="B242" t="s">
        <v>20</v>
      </c>
      <c r="C242" s="1">
        <v>38434</v>
      </c>
      <c r="D242" s="8">
        <f ca="1">ROUND(YEARFRAC(NEET[[#This Row],[Date_of_Birth]],TODAY()),0)</f>
        <v>21</v>
      </c>
      <c r="E242" t="s">
        <v>14</v>
      </c>
      <c r="F242" t="s">
        <v>15</v>
      </c>
      <c r="G242" t="s">
        <v>25</v>
      </c>
      <c r="H242">
        <v>4</v>
      </c>
      <c r="I242">
        <v>150</v>
      </c>
      <c r="J242">
        <v>111</v>
      </c>
      <c r="K242">
        <v>164</v>
      </c>
      <c r="L242">
        <v>425</v>
      </c>
      <c r="M242">
        <v>2024</v>
      </c>
    </row>
    <row r="243" spans="1:13" x14ac:dyDescent="0.25">
      <c r="A243" t="s">
        <v>280</v>
      </c>
      <c r="B243" t="s">
        <v>20</v>
      </c>
      <c r="C243" s="1">
        <v>39562</v>
      </c>
      <c r="D243" s="8">
        <f ca="1">ROUND(YEARFRAC(NEET[[#This Row],[Date_of_Birth]],TODAY()),0)</f>
        <v>18</v>
      </c>
      <c r="E243" t="s">
        <v>40</v>
      </c>
      <c r="F243" t="s">
        <v>15</v>
      </c>
      <c r="G243" t="s">
        <v>22</v>
      </c>
      <c r="H243">
        <v>2</v>
      </c>
      <c r="I243">
        <v>34</v>
      </c>
      <c r="J243">
        <v>96</v>
      </c>
      <c r="K243">
        <v>343</v>
      </c>
      <c r="L243">
        <v>473</v>
      </c>
      <c r="M243">
        <v>2025</v>
      </c>
    </row>
    <row r="244" spans="1:13" x14ac:dyDescent="0.25">
      <c r="A244" t="s">
        <v>281</v>
      </c>
      <c r="B244" t="s">
        <v>20</v>
      </c>
      <c r="C244" s="1">
        <v>37468</v>
      </c>
      <c r="D244" s="8">
        <f ca="1">ROUND(YEARFRAC(NEET[[#This Row],[Date_of_Birth]],TODAY()),0)</f>
        <v>24</v>
      </c>
      <c r="E244" t="s">
        <v>18</v>
      </c>
      <c r="F244" t="s">
        <v>15</v>
      </c>
      <c r="G244" t="s">
        <v>34</v>
      </c>
      <c r="H244">
        <v>4</v>
      </c>
      <c r="I244">
        <v>175</v>
      </c>
      <c r="J244">
        <v>92</v>
      </c>
      <c r="K244">
        <v>315</v>
      </c>
      <c r="L244">
        <v>582</v>
      </c>
      <c r="M244">
        <v>2026</v>
      </c>
    </row>
    <row r="245" spans="1:13" x14ac:dyDescent="0.25">
      <c r="A245" t="s">
        <v>282</v>
      </c>
      <c r="B245" t="s">
        <v>13</v>
      </c>
      <c r="C245" s="1">
        <v>37215</v>
      </c>
      <c r="D245" s="8">
        <f ca="1">ROUND(YEARFRAC(NEET[[#This Row],[Date_of_Birth]],TODAY()),0)</f>
        <v>24</v>
      </c>
      <c r="E245" t="s">
        <v>36</v>
      </c>
      <c r="F245" t="s">
        <v>37</v>
      </c>
      <c r="G245" t="s">
        <v>16</v>
      </c>
      <c r="H245">
        <v>1</v>
      </c>
      <c r="I245">
        <v>120</v>
      </c>
      <c r="J245">
        <v>73</v>
      </c>
      <c r="K245">
        <v>131</v>
      </c>
      <c r="L245">
        <v>324</v>
      </c>
      <c r="M245">
        <v>2023</v>
      </c>
    </row>
    <row r="246" spans="1:13" x14ac:dyDescent="0.25">
      <c r="A246" t="s">
        <v>283</v>
      </c>
      <c r="B246" t="s">
        <v>13</v>
      </c>
      <c r="C246" s="1">
        <v>36830</v>
      </c>
      <c r="D246" s="8">
        <f ca="1">ROUND(YEARFRAC(NEET[[#This Row],[Date_of_Birth]],TODAY()),0)</f>
        <v>26</v>
      </c>
      <c r="E246" t="s">
        <v>31</v>
      </c>
      <c r="F246" t="s">
        <v>32</v>
      </c>
      <c r="G246" t="s">
        <v>22</v>
      </c>
      <c r="H246">
        <v>1</v>
      </c>
      <c r="I246">
        <v>42</v>
      </c>
      <c r="J246">
        <v>31</v>
      </c>
      <c r="K246">
        <v>271</v>
      </c>
      <c r="L246">
        <v>344</v>
      </c>
      <c r="M246">
        <v>2023</v>
      </c>
    </row>
    <row r="247" spans="1:13" x14ac:dyDescent="0.25">
      <c r="A247" t="s">
        <v>284</v>
      </c>
      <c r="B247" t="s">
        <v>20</v>
      </c>
      <c r="C247" s="1">
        <v>37421</v>
      </c>
      <c r="D247" s="8">
        <f ca="1">ROUND(YEARFRAC(NEET[[#This Row],[Date_of_Birth]],TODAY()),0)</f>
        <v>24</v>
      </c>
      <c r="E247" t="s">
        <v>42</v>
      </c>
      <c r="F247" t="s">
        <v>15</v>
      </c>
      <c r="G247" t="s">
        <v>25</v>
      </c>
      <c r="H247">
        <v>1</v>
      </c>
      <c r="I247">
        <v>146</v>
      </c>
      <c r="J247">
        <v>125</v>
      </c>
      <c r="K247">
        <v>90</v>
      </c>
      <c r="L247">
        <v>361</v>
      </c>
      <c r="M247">
        <v>2026</v>
      </c>
    </row>
    <row r="248" spans="1:13" x14ac:dyDescent="0.25">
      <c r="A248" t="s">
        <v>285</v>
      </c>
      <c r="B248" t="s">
        <v>13</v>
      </c>
      <c r="C248" s="1">
        <v>36574</v>
      </c>
      <c r="D248" s="8">
        <f ca="1">ROUND(YEARFRAC(NEET[[#This Row],[Date_of_Birth]],TODAY()),0)</f>
        <v>26</v>
      </c>
      <c r="E248" t="s">
        <v>53</v>
      </c>
      <c r="F248" t="s">
        <v>15</v>
      </c>
      <c r="G248" t="s">
        <v>22</v>
      </c>
      <c r="H248">
        <v>4</v>
      </c>
      <c r="I248">
        <v>165</v>
      </c>
      <c r="J248">
        <v>100</v>
      </c>
      <c r="K248">
        <v>334</v>
      </c>
      <c r="L248">
        <v>599</v>
      </c>
      <c r="M248">
        <v>2023</v>
      </c>
    </row>
    <row r="249" spans="1:13" x14ac:dyDescent="0.25">
      <c r="A249" t="s">
        <v>286</v>
      </c>
      <c r="B249" t="s">
        <v>20</v>
      </c>
      <c r="C249" s="1">
        <v>36920</v>
      </c>
      <c r="D249" s="8">
        <f ca="1">ROUND(YEARFRAC(NEET[[#This Row],[Date_of_Birth]],TODAY()),0)</f>
        <v>25</v>
      </c>
      <c r="E249" t="s">
        <v>42</v>
      </c>
      <c r="F249" t="s">
        <v>15</v>
      </c>
      <c r="G249" t="s">
        <v>34</v>
      </c>
      <c r="H249">
        <v>3</v>
      </c>
      <c r="I249">
        <v>68</v>
      </c>
      <c r="J249">
        <v>91</v>
      </c>
      <c r="K249">
        <v>158</v>
      </c>
      <c r="L249">
        <v>317</v>
      </c>
      <c r="M249">
        <v>2023</v>
      </c>
    </row>
    <row r="250" spans="1:13" x14ac:dyDescent="0.25">
      <c r="A250" t="s">
        <v>287</v>
      </c>
      <c r="B250" t="s">
        <v>20</v>
      </c>
      <c r="C250" s="1">
        <v>38054</v>
      </c>
      <c r="D250" s="8">
        <f ca="1">ROUND(YEARFRAC(NEET[[#This Row],[Date_of_Birth]],TODAY()),0)</f>
        <v>22</v>
      </c>
      <c r="E250" t="s">
        <v>18</v>
      </c>
      <c r="F250" t="s">
        <v>15</v>
      </c>
      <c r="G250" t="s">
        <v>25</v>
      </c>
      <c r="H250">
        <v>1</v>
      </c>
      <c r="I250">
        <v>147</v>
      </c>
      <c r="J250">
        <v>174</v>
      </c>
      <c r="K250">
        <v>184</v>
      </c>
      <c r="L250">
        <v>505</v>
      </c>
      <c r="M250">
        <v>2023</v>
      </c>
    </row>
    <row r="251" spans="1:13" x14ac:dyDescent="0.25">
      <c r="A251" t="s">
        <v>288</v>
      </c>
      <c r="B251" t="s">
        <v>13</v>
      </c>
      <c r="C251" s="1">
        <v>38186</v>
      </c>
      <c r="D251" s="8">
        <f ca="1">ROUND(YEARFRAC(NEET[[#This Row],[Date_of_Birth]],TODAY()),0)</f>
        <v>22</v>
      </c>
      <c r="E251" t="s">
        <v>18</v>
      </c>
      <c r="F251" t="s">
        <v>15</v>
      </c>
      <c r="G251" t="s">
        <v>25</v>
      </c>
      <c r="H251">
        <v>2</v>
      </c>
      <c r="I251">
        <v>126</v>
      </c>
      <c r="J251">
        <v>171</v>
      </c>
      <c r="K251">
        <v>303</v>
      </c>
      <c r="L251">
        <v>600</v>
      </c>
      <c r="M251">
        <v>2026</v>
      </c>
    </row>
    <row r="252" spans="1:13" x14ac:dyDescent="0.25">
      <c r="A252" t="s">
        <v>289</v>
      </c>
      <c r="B252" t="s">
        <v>13</v>
      </c>
      <c r="C252" s="1">
        <v>38303</v>
      </c>
      <c r="D252" s="8">
        <f ca="1">ROUND(YEARFRAC(NEET[[#This Row],[Date_of_Birth]],TODAY()),0)</f>
        <v>22</v>
      </c>
      <c r="E252" t="s">
        <v>21</v>
      </c>
      <c r="F252" t="s">
        <v>21</v>
      </c>
      <c r="G252" t="s">
        <v>16</v>
      </c>
      <c r="H252">
        <v>2</v>
      </c>
      <c r="I252">
        <v>114</v>
      </c>
      <c r="J252">
        <v>174</v>
      </c>
      <c r="K252">
        <v>108</v>
      </c>
      <c r="L252">
        <v>396</v>
      </c>
      <c r="M252">
        <v>2026</v>
      </c>
    </row>
    <row r="253" spans="1:13" x14ac:dyDescent="0.25">
      <c r="A253" t="s">
        <v>290</v>
      </c>
      <c r="B253" t="s">
        <v>13</v>
      </c>
      <c r="C253" s="1">
        <v>37636</v>
      </c>
      <c r="D253" s="8">
        <f ca="1">ROUND(YEARFRAC(NEET[[#This Row],[Date_of_Birth]],TODAY()),0)</f>
        <v>23</v>
      </c>
      <c r="E253" t="s">
        <v>53</v>
      </c>
      <c r="F253" t="s">
        <v>15</v>
      </c>
      <c r="G253" t="s">
        <v>25</v>
      </c>
      <c r="H253">
        <v>3</v>
      </c>
      <c r="I253">
        <v>49</v>
      </c>
      <c r="J253">
        <v>101</v>
      </c>
      <c r="K253">
        <v>338</v>
      </c>
      <c r="L253">
        <v>488</v>
      </c>
      <c r="M253">
        <v>2024</v>
      </c>
    </row>
    <row r="254" spans="1:13" x14ac:dyDescent="0.25">
      <c r="A254" t="s">
        <v>291</v>
      </c>
      <c r="B254" t="s">
        <v>13</v>
      </c>
      <c r="C254" s="1">
        <v>38930</v>
      </c>
      <c r="D254" s="8">
        <f ca="1">ROUND(YEARFRAC(NEET[[#This Row],[Date_of_Birth]],TODAY()),0)</f>
        <v>20</v>
      </c>
      <c r="E254" t="s">
        <v>40</v>
      </c>
      <c r="F254" t="s">
        <v>15</v>
      </c>
      <c r="G254" t="s">
        <v>16</v>
      </c>
      <c r="H254">
        <v>4</v>
      </c>
      <c r="I254">
        <v>131</v>
      </c>
      <c r="J254">
        <v>49</v>
      </c>
      <c r="K254">
        <v>213</v>
      </c>
      <c r="L254">
        <v>393</v>
      </c>
      <c r="M254">
        <v>2025</v>
      </c>
    </row>
    <row r="255" spans="1:13" x14ac:dyDescent="0.25">
      <c r="A255" t="s">
        <v>292</v>
      </c>
      <c r="B255" t="s">
        <v>13</v>
      </c>
      <c r="C255" s="1">
        <v>38098</v>
      </c>
      <c r="D255" s="8">
        <f ca="1">ROUND(YEARFRAC(NEET[[#This Row],[Date_of_Birth]],TODAY()),0)</f>
        <v>22</v>
      </c>
      <c r="E255" t="s">
        <v>69</v>
      </c>
      <c r="F255" t="s">
        <v>70</v>
      </c>
      <c r="G255" t="s">
        <v>34</v>
      </c>
      <c r="H255">
        <v>1</v>
      </c>
      <c r="I255">
        <v>65</v>
      </c>
      <c r="J255">
        <v>50</v>
      </c>
      <c r="K255">
        <v>316</v>
      </c>
      <c r="L255">
        <v>431</v>
      </c>
      <c r="M255">
        <v>2024</v>
      </c>
    </row>
    <row r="256" spans="1:13" x14ac:dyDescent="0.25">
      <c r="A256" t="s">
        <v>293</v>
      </c>
      <c r="B256" t="s">
        <v>20</v>
      </c>
      <c r="C256" s="1">
        <v>36837</v>
      </c>
      <c r="D256" s="8">
        <f ca="1">ROUND(YEARFRAC(NEET[[#This Row],[Date_of_Birth]],TODAY()),0)</f>
        <v>26</v>
      </c>
      <c r="E256" t="s">
        <v>46</v>
      </c>
      <c r="F256" t="s">
        <v>15</v>
      </c>
      <c r="G256" t="s">
        <v>22</v>
      </c>
      <c r="H256">
        <v>4</v>
      </c>
      <c r="I256">
        <v>131</v>
      </c>
      <c r="J256">
        <v>113</v>
      </c>
      <c r="K256">
        <v>75</v>
      </c>
      <c r="L256">
        <v>319</v>
      </c>
      <c r="M256">
        <v>2025</v>
      </c>
    </row>
    <row r="257" spans="1:13" x14ac:dyDescent="0.25">
      <c r="A257" t="s">
        <v>294</v>
      </c>
      <c r="B257" t="s">
        <v>13</v>
      </c>
      <c r="C257" s="1">
        <v>38791</v>
      </c>
      <c r="D257" s="8">
        <f ca="1">ROUND(YEARFRAC(NEET[[#This Row],[Date_of_Birth]],TODAY()),0)</f>
        <v>20</v>
      </c>
      <c r="E257" t="s">
        <v>18</v>
      </c>
      <c r="F257" t="s">
        <v>15</v>
      </c>
      <c r="G257" t="s">
        <v>22</v>
      </c>
      <c r="H257">
        <v>3</v>
      </c>
      <c r="I257">
        <v>140</v>
      </c>
      <c r="J257">
        <v>77</v>
      </c>
      <c r="K257">
        <v>359</v>
      </c>
      <c r="L257">
        <v>576</v>
      </c>
      <c r="M257">
        <v>2023</v>
      </c>
    </row>
    <row r="258" spans="1:13" x14ac:dyDescent="0.25">
      <c r="A258" t="s">
        <v>295</v>
      </c>
      <c r="B258" t="s">
        <v>20</v>
      </c>
      <c r="C258" s="1">
        <v>36862</v>
      </c>
      <c r="D258" s="8">
        <f ca="1">ROUND(YEARFRAC(NEET[[#This Row],[Date_of_Birth]],TODAY()),0)</f>
        <v>25</v>
      </c>
      <c r="E258" t="s">
        <v>24</v>
      </c>
      <c r="F258" t="s">
        <v>15</v>
      </c>
      <c r="G258" t="s">
        <v>25</v>
      </c>
      <c r="H258">
        <v>3</v>
      </c>
      <c r="I258">
        <v>69</v>
      </c>
      <c r="J258">
        <v>127</v>
      </c>
      <c r="K258">
        <v>138</v>
      </c>
      <c r="L258">
        <v>334</v>
      </c>
      <c r="M258">
        <v>2023</v>
      </c>
    </row>
    <row r="259" spans="1:13" x14ac:dyDescent="0.25">
      <c r="A259" t="s">
        <v>296</v>
      </c>
      <c r="B259" t="s">
        <v>13</v>
      </c>
      <c r="C259" s="1">
        <v>36547</v>
      </c>
      <c r="D259" s="8">
        <f ca="1">ROUND(YEARFRAC(NEET[[#This Row],[Date_of_Birth]],TODAY()),0)</f>
        <v>26</v>
      </c>
      <c r="E259" t="s">
        <v>24</v>
      </c>
      <c r="F259" t="s">
        <v>15</v>
      </c>
      <c r="G259" t="s">
        <v>22</v>
      </c>
      <c r="H259">
        <v>1</v>
      </c>
      <c r="I259">
        <v>143</v>
      </c>
      <c r="J259">
        <v>122</v>
      </c>
      <c r="K259">
        <v>198</v>
      </c>
      <c r="L259">
        <v>463</v>
      </c>
      <c r="M259">
        <v>2026</v>
      </c>
    </row>
    <row r="260" spans="1:13" x14ac:dyDescent="0.25">
      <c r="A260" t="s">
        <v>297</v>
      </c>
      <c r="B260" t="s">
        <v>13</v>
      </c>
      <c r="C260" s="1">
        <v>38364</v>
      </c>
      <c r="D260" s="8">
        <f ca="1">ROUND(YEARFRAC(NEET[[#This Row],[Date_of_Birth]],TODAY()),0)</f>
        <v>21</v>
      </c>
      <c r="E260" t="s">
        <v>42</v>
      </c>
      <c r="F260" t="s">
        <v>15</v>
      </c>
      <c r="G260" t="s">
        <v>29</v>
      </c>
      <c r="H260">
        <v>1</v>
      </c>
      <c r="I260">
        <v>172</v>
      </c>
      <c r="J260">
        <v>161</v>
      </c>
      <c r="K260">
        <v>268</v>
      </c>
      <c r="L260">
        <v>601</v>
      </c>
      <c r="M260">
        <v>2023</v>
      </c>
    </row>
    <row r="261" spans="1:13" x14ac:dyDescent="0.25">
      <c r="A261" t="s">
        <v>298</v>
      </c>
      <c r="B261" t="s">
        <v>20</v>
      </c>
      <c r="C261" s="1">
        <v>38971</v>
      </c>
      <c r="D261" s="8">
        <f ca="1">ROUND(YEARFRAC(NEET[[#This Row],[Date_of_Birth]],TODAY()),0)</f>
        <v>20</v>
      </c>
      <c r="E261" t="s">
        <v>27</v>
      </c>
      <c r="F261" t="s">
        <v>15</v>
      </c>
      <c r="G261" t="s">
        <v>25</v>
      </c>
      <c r="H261">
        <v>4</v>
      </c>
      <c r="I261">
        <v>113</v>
      </c>
      <c r="J261">
        <v>128</v>
      </c>
      <c r="K261">
        <v>66</v>
      </c>
      <c r="L261">
        <v>307</v>
      </c>
      <c r="M261">
        <v>2024</v>
      </c>
    </row>
    <row r="262" spans="1:13" x14ac:dyDescent="0.25">
      <c r="A262" t="s">
        <v>299</v>
      </c>
      <c r="B262" t="s">
        <v>20</v>
      </c>
      <c r="C262" s="1">
        <v>38868</v>
      </c>
      <c r="D262" s="8">
        <f ca="1">ROUND(YEARFRAC(NEET[[#This Row],[Date_of_Birth]],TODAY()),0)</f>
        <v>20</v>
      </c>
      <c r="E262" t="s">
        <v>42</v>
      </c>
      <c r="F262" t="s">
        <v>15</v>
      </c>
      <c r="G262" t="s">
        <v>29</v>
      </c>
      <c r="H262">
        <v>3</v>
      </c>
      <c r="I262">
        <v>73</v>
      </c>
      <c r="J262">
        <v>127</v>
      </c>
      <c r="K262">
        <v>146</v>
      </c>
      <c r="L262">
        <v>346</v>
      </c>
      <c r="M262">
        <v>2026</v>
      </c>
    </row>
    <row r="263" spans="1:13" x14ac:dyDescent="0.25">
      <c r="A263" t="s">
        <v>300</v>
      </c>
      <c r="B263" t="s">
        <v>20</v>
      </c>
      <c r="C263" s="1">
        <v>37123</v>
      </c>
      <c r="D263" s="8">
        <f ca="1">ROUND(YEARFRAC(NEET[[#This Row],[Date_of_Birth]],TODAY()),0)</f>
        <v>25</v>
      </c>
      <c r="E263" t="s">
        <v>14</v>
      </c>
      <c r="F263" t="s">
        <v>15</v>
      </c>
      <c r="G263" t="s">
        <v>25</v>
      </c>
      <c r="H263">
        <v>4</v>
      </c>
      <c r="I263">
        <v>72</v>
      </c>
      <c r="J263">
        <v>141</v>
      </c>
      <c r="K263">
        <v>201</v>
      </c>
      <c r="L263">
        <v>414</v>
      </c>
      <c r="M263">
        <v>2025</v>
      </c>
    </row>
    <row r="264" spans="1:13" x14ac:dyDescent="0.25">
      <c r="A264" t="s">
        <v>301</v>
      </c>
      <c r="B264" t="s">
        <v>13</v>
      </c>
      <c r="C264" s="1">
        <v>37556</v>
      </c>
      <c r="D264" s="8">
        <f ca="1">ROUND(YEARFRAC(NEET[[#This Row],[Date_of_Birth]],TODAY()),0)</f>
        <v>24</v>
      </c>
      <c r="E264" t="s">
        <v>62</v>
      </c>
      <c r="F264" t="s">
        <v>15</v>
      </c>
      <c r="G264" t="s">
        <v>25</v>
      </c>
      <c r="H264">
        <v>3</v>
      </c>
      <c r="I264">
        <v>156</v>
      </c>
      <c r="J264">
        <v>80</v>
      </c>
      <c r="K264">
        <v>294</v>
      </c>
      <c r="L264">
        <v>530</v>
      </c>
      <c r="M264">
        <v>2026</v>
      </c>
    </row>
    <row r="265" spans="1:13" x14ac:dyDescent="0.25">
      <c r="A265" t="s">
        <v>302</v>
      </c>
      <c r="B265" t="s">
        <v>20</v>
      </c>
      <c r="C265" s="1">
        <v>37886</v>
      </c>
      <c r="D265" s="8">
        <f ca="1">ROUND(YEARFRAC(NEET[[#This Row],[Date_of_Birth]],TODAY()),0)</f>
        <v>23</v>
      </c>
      <c r="E265" t="s">
        <v>31</v>
      </c>
      <c r="F265" t="s">
        <v>32</v>
      </c>
      <c r="G265" t="s">
        <v>29</v>
      </c>
      <c r="H265">
        <v>2</v>
      </c>
      <c r="I265">
        <v>127</v>
      </c>
      <c r="J265">
        <v>114</v>
      </c>
      <c r="K265">
        <v>285</v>
      </c>
      <c r="L265">
        <v>526</v>
      </c>
      <c r="M265">
        <v>2025</v>
      </c>
    </row>
    <row r="266" spans="1:13" x14ac:dyDescent="0.25">
      <c r="A266" t="s">
        <v>303</v>
      </c>
      <c r="B266" t="s">
        <v>20</v>
      </c>
      <c r="C266" s="1">
        <v>38996</v>
      </c>
      <c r="D266" s="8">
        <f ca="1">ROUND(YEARFRAC(NEET[[#This Row],[Date_of_Birth]],TODAY()),0)</f>
        <v>20</v>
      </c>
      <c r="E266" t="s">
        <v>36</v>
      </c>
      <c r="F266" t="s">
        <v>37</v>
      </c>
      <c r="G266" t="s">
        <v>29</v>
      </c>
      <c r="H266">
        <v>3</v>
      </c>
      <c r="I266">
        <v>81</v>
      </c>
      <c r="J266">
        <v>152</v>
      </c>
      <c r="K266">
        <v>220</v>
      </c>
      <c r="L266">
        <v>453</v>
      </c>
      <c r="M266">
        <v>2026</v>
      </c>
    </row>
    <row r="267" spans="1:13" x14ac:dyDescent="0.25">
      <c r="A267" t="s">
        <v>304</v>
      </c>
      <c r="B267" t="s">
        <v>20</v>
      </c>
      <c r="C267" s="1">
        <v>38884</v>
      </c>
      <c r="D267" s="8">
        <f ca="1">ROUND(YEARFRAC(NEET[[#This Row],[Date_of_Birth]],TODAY()),0)</f>
        <v>20</v>
      </c>
      <c r="E267" t="s">
        <v>69</v>
      </c>
      <c r="F267" t="s">
        <v>70</v>
      </c>
      <c r="G267" t="s">
        <v>25</v>
      </c>
      <c r="H267">
        <v>3</v>
      </c>
      <c r="I267">
        <v>92</v>
      </c>
      <c r="J267">
        <v>113</v>
      </c>
      <c r="K267">
        <v>252</v>
      </c>
      <c r="L267">
        <v>457</v>
      </c>
      <c r="M267">
        <v>2024</v>
      </c>
    </row>
    <row r="268" spans="1:13" x14ac:dyDescent="0.25">
      <c r="A268" t="s">
        <v>305</v>
      </c>
      <c r="B268" t="s">
        <v>13</v>
      </c>
      <c r="C268" s="1">
        <v>38951</v>
      </c>
      <c r="D268" s="8">
        <f ca="1">ROUND(YEARFRAC(NEET[[#This Row],[Date_of_Birth]],TODAY()),0)</f>
        <v>20</v>
      </c>
      <c r="E268" t="s">
        <v>42</v>
      </c>
      <c r="F268" t="s">
        <v>15</v>
      </c>
      <c r="G268" t="s">
        <v>29</v>
      </c>
      <c r="H268">
        <v>4</v>
      </c>
      <c r="I268">
        <v>76</v>
      </c>
      <c r="J268">
        <v>170</v>
      </c>
      <c r="K268">
        <v>73</v>
      </c>
      <c r="L268">
        <v>319</v>
      </c>
      <c r="M268">
        <v>2023</v>
      </c>
    </row>
    <row r="269" spans="1:13" x14ac:dyDescent="0.25">
      <c r="A269" t="s">
        <v>306</v>
      </c>
      <c r="B269" t="s">
        <v>13</v>
      </c>
      <c r="C269" s="1">
        <v>39785</v>
      </c>
      <c r="D269" s="8">
        <f ca="1">ROUND(YEARFRAC(NEET[[#This Row],[Date_of_Birth]],TODAY()),0)</f>
        <v>17</v>
      </c>
      <c r="E269" t="s">
        <v>69</v>
      </c>
      <c r="F269" t="s">
        <v>70</v>
      </c>
      <c r="G269" t="s">
        <v>22</v>
      </c>
      <c r="H269">
        <v>3</v>
      </c>
      <c r="I269">
        <v>134</v>
      </c>
      <c r="J269">
        <v>157</v>
      </c>
      <c r="K269">
        <v>131</v>
      </c>
      <c r="L269">
        <v>422</v>
      </c>
      <c r="M269">
        <v>2026</v>
      </c>
    </row>
    <row r="270" spans="1:13" x14ac:dyDescent="0.25">
      <c r="A270" t="s">
        <v>307</v>
      </c>
      <c r="B270" t="s">
        <v>20</v>
      </c>
      <c r="C270" s="1">
        <v>39758</v>
      </c>
      <c r="D270" s="8">
        <f ca="1">ROUND(YEARFRAC(NEET[[#This Row],[Date_of_Birth]],TODAY()),0)</f>
        <v>18</v>
      </c>
      <c r="E270" t="s">
        <v>18</v>
      </c>
      <c r="F270" t="s">
        <v>15</v>
      </c>
      <c r="G270" t="s">
        <v>29</v>
      </c>
      <c r="H270">
        <v>1</v>
      </c>
      <c r="I270">
        <v>48</v>
      </c>
      <c r="J270">
        <v>144</v>
      </c>
      <c r="K270">
        <v>305</v>
      </c>
      <c r="L270">
        <v>497</v>
      </c>
      <c r="M270">
        <v>2023</v>
      </c>
    </row>
    <row r="271" spans="1:13" x14ac:dyDescent="0.25">
      <c r="A271" t="s">
        <v>308</v>
      </c>
      <c r="B271" t="s">
        <v>20</v>
      </c>
      <c r="C271" s="1">
        <v>36973</v>
      </c>
      <c r="D271" s="8">
        <f ca="1">ROUND(YEARFRAC(NEET[[#This Row],[Date_of_Birth]],TODAY()),0)</f>
        <v>25</v>
      </c>
      <c r="E271" t="s">
        <v>69</v>
      </c>
      <c r="F271" t="s">
        <v>70</v>
      </c>
      <c r="G271" t="s">
        <v>34</v>
      </c>
      <c r="H271">
        <v>3</v>
      </c>
      <c r="I271">
        <v>93</v>
      </c>
      <c r="J271">
        <v>120</v>
      </c>
      <c r="K271">
        <v>145</v>
      </c>
      <c r="L271">
        <v>358</v>
      </c>
      <c r="M271">
        <v>2023</v>
      </c>
    </row>
    <row r="272" spans="1:13" x14ac:dyDescent="0.25">
      <c r="A272" t="s">
        <v>309</v>
      </c>
      <c r="B272" t="s">
        <v>20</v>
      </c>
      <c r="C272" s="1">
        <v>36569</v>
      </c>
      <c r="D272" s="8">
        <f ca="1">ROUND(YEARFRAC(NEET[[#This Row],[Date_of_Birth]],TODAY()),0)</f>
        <v>26</v>
      </c>
      <c r="E272" t="s">
        <v>14</v>
      </c>
      <c r="F272" t="s">
        <v>15</v>
      </c>
      <c r="G272" t="s">
        <v>34</v>
      </c>
      <c r="H272">
        <v>3</v>
      </c>
      <c r="I272">
        <v>96</v>
      </c>
      <c r="J272">
        <v>86</v>
      </c>
      <c r="K272">
        <v>321</v>
      </c>
      <c r="L272">
        <v>503</v>
      </c>
      <c r="M272">
        <v>2026</v>
      </c>
    </row>
    <row r="273" spans="1:13" x14ac:dyDescent="0.25">
      <c r="A273" t="s">
        <v>310</v>
      </c>
      <c r="B273" t="s">
        <v>13</v>
      </c>
      <c r="C273" s="1">
        <v>39689</v>
      </c>
      <c r="D273" s="8">
        <f ca="1">ROUND(YEARFRAC(NEET[[#This Row],[Date_of_Birth]],TODAY()),0)</f>
        <v>18</v>
      </c>
      <c r="E273" t="s">
        <v>21</v>
      </c>
      <c r="F273" t="s">
        <v>21</v>
      </c>
      <c r="G273" t="s">
        <v>25</v>
      </c>
      <c r="H273">
        <v>4</v>
      </c>
      <c r="I273">
        <v>180</v>
      </c>
      <c r="J273">
        <v>158</v>
      </c>
      <c r="K273">
        <v>137</v>
      </c>
      <c r="L273">
        <v>475</v>
      </c>
      <c r="M273">
        <v>2025</v>
      </c>
    </row>
    <row r="274" spans="1:13" x14ac:dyDescent="0.25">
      <c r="A274" t="s">
        <v>311</v>
      </c>
      <c r="B274" t="s">
        <v>20</v>
      </c>
      <c r="C274" s="1">
        <v>38229</v>
      </c>
      <c r="D274" s="8">
        <f ca="1">ROUND(YEARFRAC(NEET[[#This Row],[Date_of_Birth]],TODAY()),0)</f>
        <v>22</v>
      </c>
      <c r="E274" t="s">
        <v>48</v>
      </c>
      <c r="F274" t="s">
        <v>49</v>
      </c>
      <c r="G274" t="s">
        <v>34</v>
      </c>
      <c r="H274">
        <v>3</v>
      </c>
      <c r="I274">
        <v>51</v>
      </c>
      <c r="J274">
        <v>59</v>
      </c>
      <c r="K274">
        <v>132</v>
      </c>
      <c r="L274">
        <v>242</v>
      </c>
      <c r="M274">
        <v>2024</v>
      </c>
    </row>
    <row r="275" spans="1:13" x14ac:dyDescent="0.25">
      <c r="A275" t="s">
        <v>312</v>
      </c>
      <c r="B275" t="s">
        <v>20</v>
      </c>
      <c r="C275" s="1">
        <v>38660</v>
      </c>
      <c r="D275" s="8">
        <f ca="1">ROUND(YEARFRAC(NEET[[#This Row],[Date_of_Birth]],TODAY()),0)</f>
        <v>21</v>
      </c>
      <c r="E275" t="s">
        <v>73</v>
      </c>
      <c r="F275" t="s">
        <v>15</v>
      </c>
      <c r="G275" t="s">
        <v>25</v>
      </c>
      <c r="H275">
        <v>3</v>
      </c>
      <c r="I275">
        <v>119</v>
      </c>
      <c r="J275">
        <v>151</v>
      </c>
      <c r="K275">
        <v>109</v>
      </c>
      <c r="L275">
        <v>379</v>
      </c>
      <c r="M275">
        <v>2025</v>
      </c>
    </row>
    <row r="276" spans="1:13" x14ac:dyDescent="0.25">
      <c r="A276" t="s">
        <v>313</v>
      </c>
      <c r="B276" t="s">
        <v>13</v>
      </c>
      <c r="C276" s="1">
        <v>36709</v>
      </c>
      <c r="D276" s="8">
        <f ca="1">ROUND(YEARFRAC(NEET[[#This Row],[Date_of_Birth]],TODAY()),0)</f>
        <v>26</v>
      </c>
      <c r="E276" t="s">
        <v>69</v>
      </c>
      <c r="F276" t="s">
        <v>70</v>
      </c>
      <c r="G276" t="s">
        <v>16</v>
      </c>
      <c r="H276">
        <v>2</v>
      </c>
      <c r="I276">
        <v>59</v>
      </c>
      <c r="J276">
        <v>35</v>
      </c>
      <c r="K276">
        <v>235</v>
      </c>
      <c r="L276">
        <v>329</v>
      </c>
      <c r="M276">
        <v>2024</v>
      </c>
    </row>
    <row r="277" spans="1:13" x14ac:dyDescent="0.25">
      <c r="A277" t="s">
        <v>314</v>
      </c>
      <c r="B277" t="s">
        <v>13</v>
      </c>
      <c r="C277" s="1">
        <v>38786</v>
      </c>
      <c r="D277" s="8">
        <f ca="1">ROUND(YEARFRAC(NEET[[#This Row],[Date_of_Birth]],TODAY()),0)</f>
        <v>20</v>
      </c>
      <c r="E277" t="s">
        <v>40</v>
      </c>
      <c r="F277" t="s">
        <v>15</v>
      </c>
      <c r="G277" t="s">
        <v>22</v>
      </c>
      <c r="H277">
        <v>4</v>
      </c>
      <c r="I277">
        <v>114</v>
      </c>
      <c r="J277">
        <v>173</v>
      </c>
      <c r="K277">
        <v>278</v>
      </c>
      <c r="L277">
        <v>565</v>
      </c>
      <c r="M277">
        <v>2024</v>
      </c>
    </row>
    <row r="278" spans="1:13" x14ac:dyDescent="0.25">
      <c r="A278" t="s">
        <v>315</v>
      </c>
      <c r="B278" t="s">
        <v>20</v>
      </c>
      <c r="C278" s="1">
        <v>39149</v>
      </c>
      <c r="D278" s="8">
        <f ca="1">ROUND(YEARFRAC(NEET[[#This Row],[Date_of_Birth]],TODAY()),0)</f>
        <v>19</v>
      </c>
      <c r="E278" t="s">
        <v>21</v>
      </c>
      <c r="F278" t="s">
        <v>21</v>
      </c>
      <c r="G278" t="s">
        <v>34</v>
      </c>
      <c r="H278">
        <v>4</v>
      </c>
      <c r="I278">
        <v>140</v>
      </c>
      <c r="J278">
        <v>131</v>
      </c>
      <c r="K278">
        <v>74</v>
      </c>
      <c r="L278">
        <v>345</v>
      </c>
      <c r="M278">
        <v>2023</v>
      </c>
    </row>
    <row r="279" spans="1:13" x14ac:dyDescent="0.25">
      <c r="A279" t="s">
        <v>316</v>
      </c>
      <c r="B279" t="s">
        <v>13</v>
      </c>
      <c r="C279" s="1">
        <v>39412</v>
      </c>
      <c r="D279" s="8">
        <f ca="1">ROUND(YEARFRAC(NEET[[#This Row],[Date_of_Birth]],TODAY()),0)</f>
        <v>18</v>
      </c>
      <c r="E279" t="s">
        <v>62</v>
      </c>
      <c r="F279" t="s">
        <v>15</v>
      </c>
      <c r="G279" t="s">
        <v>29</v>
      </c>
      <c r="H279">
        <v>3</v>
      </c>
      <c r="I279">
        <v>82</v>
      </c>
      <c r="J279">
        <v>101</v>
      </c>
      <c r="K279">
        <v>92</v>
      </c>
      <c r="L279">
        <v>275</v>
      </c>
      <c r="M279">
        <v>2024</v>
      </c>
    </row>
    <row r="280" spans="1:13" x14ac:dyDescent="0.25">
      <c r="A280" t="s">
        <v>317</v>
      </c>
      <c r="B280" t="s">
        <v>20</v>
      </c>
      <c r="C280" s="1">
        <v>38400</v>
      </c>
      <c r="D280" s="8">
        <f ca="1">ROUND(YEARFRAC(NEET[[#This Row],[Date_of_Birth]],TODAY()),0)</f>
        <v>21</v>
      </c>
      <c r="E280" t="s">
        <v>14</v>
      </c>
      <c r="F280" t="s">
        <v>15</v>
      </c>
      <c r="G280" t="s">
        <v>16</v>
      </c>
      <c r="H280">
        <v>4</v>
      </c>
      <c r="I280">
        <v>97</v>
      </c>
      <c r="J280">
        <v>155</v>
      </c>
      <c r="K280">
        <v>330</v>
      </c>
      <c r="L280">
        <v>582</v>
      </c>
      <c r="M280">
        <v>2023</v>
      </c>
    </row>
    <row r="281" spans="1:13" x14ac:dyDescent="0.25">
      <c r="A281" t="s">
        <v>318</v>
      </c>
      <c r="B281" t="s">
        <v>13</v>
      </c>
      <c r="C281" s="1">
        <v>37951</v>
      </c>
      <c r="D281" s="8">
        <f ca="1">ROUND(YEARFRAC(NEET[[#This Row],[Date_of_Birth]],TODAY()),0)</f>
        <v>22</v>
      </c>
      <c r="E281" t="s">
        <v>46</v>
      </c>
      <c r="F281" t="s">
        <v>15</v>
      </c>
      <c r="G281" t="s">
        <v>25</v>
      </c>
      <c r="H281">
        <v>3</v>
      </c>
      <c r="I281">
        <v>147</v>
      </c>
      <c r="J281">
        <v>74</v>
      </c>
      <c r="K281">
        <v>212</v>
      </c>
      <c r="L281">
        <v>433</v>
      </c>
      <c r="M281">
        <v>2024</v>
      </c>
    </row>
    <row r="282" spans="1:13" x14ac:dyDescent="0.25">
      <c r="A282" t="s">
        <v>319</v>
      </c>
      <c r="B282" t="s">
        <v>20</v>
      </c>
      <c r="C282" s="1">
        <v>37776</v>
      </c>
      <c r="D282" s="8">
        <f ca="1">ROUND(YEARFRAC(NEET[[#This Row],[Date_of_Birth]],TODAY()),0)</f>
        <v>23</v>
      </c>
      <c r="E282" t="s">
        <v>14</v>
      </c>
      <c r="F282" t="s">
        <v>15</v>
      </c>
      <c r="G282" t="s">
        <v>16</v>
      </c>
      <c r="H282">
        <v>2</v>
      </c>
      <c r="I282">
        <v>76</v>
      </c>
      <c r="J282">
        <v>125</v>
      </c>
      <c r="K282">
        <v>132</v>
      </c>
      <c r="L282">
        <v>333</v>
      </c>
      <c r="M282">
        <v>2026</v>
      </c>
    </row>
    <row r="283" spans="1:13" x14ac:dyDescent="0.25">
      <c r="A283" t="s">
        <v>320</v>
      </c>
      <c r="B283" t="s">
        <v>20</v>
      </c>
      <c r="C283" s="1">
        <v>38258</v>
      </c>
      <c r="D283" s="8">
        <f ca="1">ROUND(YEARFRAC(NEET[[#This Row],[Date_of_Birth]],TODAY()),0)</f>
        <v>22</v>
      </c>
      <c r="E283" t="s">
        <v>40</v>
      </c>
      <c r="F283" t="s">
        <v>15</v>
      </c>
      <c r="G283" t="s">
        <v>22</v>
      </c>
      <c r="H283">
        <v>3</v>
      </c>
      <c r="I283">
        <v>154</v>
      </c>
      <c r="J283">
        <v>167</v>
      </c>
      <c r="K283">
        <v>148</v>
      </c>
      <c r="L283">
        <v>469</v>
      </c>
      <c r="M283">
        <v>2024</v>
      </c>
    </row>
    <row r="284" spans="1:13" x14ac:dyDescent="0.25">
      <c r="A284" t="s">
        <v>321</v>
      </c>
      <c r="B284" t="s">
        <v>20</v>
      </c>
      <c r="C284" s="1">
        <v>37814</v>
      </c>
      <c r="D284" s="8">
        <f ca="1">ROUND(YEARFRAC(NEET[[#This Row],[Date_of_Birth]],TODAY()),0)</f>
        <v>23</v>
      </c>
      <c r="E284" t="s">
        <v>31</v>
      </c>
      <c r="F284" t="s">
        <v>32</v>
      </c>
      <c r="G284" t="s">
        <v>22</v>
      </c>
      <c r="H284">
        <v>2</v>
      </c>
      <c r="I284">
        <v>145</v>
      </c>
      <c r="J284">
        <v>43</v>
      </c>
      <c r="K284">
        <v>243</v>
      </c>
      <c r="L284">
        <v>431</v>
      </c>
      <c r="M284">
        <v>2026</v>
      </c>
    </row>
    <row r="285" spans="1:13" x14ac:dyDescent="0.25">
      <c r="A285" t="s">
        <v>322</v>
      </c>
      <c r="B285" t="s">
        <v>20</v>
      </c>
      <c r="C285" s="1">
        <v>38826</v>
      </c>
      <c r="D285" s="8">
        <f ca="1">ROUND(YEARFRAC(NEET[[#This Row],[Date_of_Birth]],TODAY()),0)</f>
        <v>20</v>
      </c>
      <c r="E285" t="s">
        <v>42</v>
      </c>
      <c r="F285" t="s">
        <v>15</v>
      </c>
      <c r="G285" t="s">
        <v>22</v>
      </c>
      <c r="H285">
        <v>4</v>
      </c>
      <c r="I285">
        <v>156</v>
      </c>
      <c r="J285">
        <v>134</v>
      </c>
      <c r="K285">
        <v>311</v>
      </c>
      <c r="L285">
        <v>601</v>
      </c>
      <c r="M285">
        <v>2023</v>
      </c>
    </row>
    <row r="286" spans="1:13" x14ac:dyDescent="0.25">
      <c r="A286" t="s">
        <v>323</v>
      </c>
      <c r="B286" t="s">
        <v>13</v>
      </c>
      <c r="C286" s="1">
        <v>38841</v>
      </c>
      <c r="D286" s="8">
        <f ca="1">ROUND(YEARFRAC(NEET[[#This Row],[Date_of_Birth]],TODAY()),0)</f>
        <v>20</v>
      </c>
      <c r="E286" t="s">
        <v>53</v>
      </c>
      <c r="F286" t="s">
        <v>15</v>
      </c>
      <c r="G286" t="s">
        <v>22</v>
      </c>
      <c r="H286">
        <v>3</v>
      </c>
      <c r="I286">
        <v>86</v>
      </c>
      <c r="J286">
        <v>104</v>
      </c>
      <c r="K286">
        <v>76</v>
      </c>
      <c r="L286">
        <v>266</v>
      </c>
      <c r="M286">
        <v>2026</v>
      </c>
    </row>
    <row r="287" spans="1:13" x14ac:dyDescent="0.25">
      <c r="A287" t="s">
        <v>324</v>
      </c>
      <c r="B287" t="s">
        <v>13</v>
      </c>
      <c r="C287" s="1">
        <v>38842</v>
      </c>
      <c r="D287" s="8">
        <f ca="1">ROUND(YEARFRAC(NEET[[#This Row],[Date_of_Birth]],TODAY()),0)</f>
        <v>20</v>
      </c>
      <c r="E287" t="s">
        <v>36</v>
      </c>
      <c r="F287" t="s">
        <v>37</v>
      </c>
      <c r="G287" t="s">
        <v>16</v>
      </c>
      <c r="H287">
        <v>3</v>
      </c>
      <c r="I287">
        <v>156</v>
      </c>
      <c r="J287">
        <v>170</v>
      </c>
      <c r="K287">
        <v>321</v>
      </c>
      <c r="L287">
        <v>647</v>
      </c>
      <c r="M287">
        <v>2025</v>
      </c>
    </row>
    <row r="288" spans="1:13" x14ac:dyDescent="0.25">
      <c r="A288" t="s">
        <v>325</v>
      </c>
      <c r="B288" t="s">
        <v>20</v>
      </c>
      <c r="C288" s="1">
        <v>38746</v>
      </c>
      <c r="D288" s="8">
        <f ca="1">ROUND(YEARFRAC(NEET[[#This Row],[Date_of_Birth]],TODAY()),0)</f>
        <v>20</v>
      </c>
      <c r="E288" t="s">
        <v>31</v>
      </c>
      <c r="F288" t="s">
        <v>32</v>
      </c>
      <c r="G288" t="s">
        <v>22</v>
      </c>
      <c r="H288">
        <v>1</v>
      </c>
      <c r="I288">
        <v>40</v>
      </c>
      <c r="J288">
        <v>142</v>
      </c>
      <c r="K288">
        <v>339</v>
      </c>
      <c r="L288">
        <v>521</v>
      </c>
      <c r="M288">
        <v>2025</v>
      </c>
    </row>
    <row r="289" spans="1:13" x14ac:dyDescent="0.25">
      <c r="A289" t="s">
        <v>326</v>
      </c>
      <c r="B289" t="s">
        <v>13</v>
      </c>
      <c r="C289" s="1">
        <v>36658</v>
      </c>
      <c r="D289" s="8">
        <f ca="1">ROUND(YEARFRAC(NEET[[#This Row],[Date_of_Birth]],TODAY()),0)</f>
        <v>26</v>
      </c>
      <c r="E289" t="s">
        <v>73</v>
      </c>
      <c r="F289" t="s">
        <v>15</v>
      </c>
      <c r="G289" t="s">
        <v>22</v>
      </c>
      <c r="H289">
        <v>2</v>
      </c>
      <c r="I289">
        <v>97</v>
      </c>
      <c r="J289">
        <v>119</v>
      </c>
      <c r="K289">
        <v>104</v>
      </c>
      <c r="L289">
        <v>320</v>
      </c>
      <c r="M289">
        <v>2025</v>
      </c>
    </row>
    <row r="290" spans="1:13" x14ac:dyDescent="0.25">
      <c r="A290" t="s">
        <v>327</v>
      </c>
      <c r="B290" t="s">
        <v>13</v>
      </c>
      <c r="C290" s="1">
        <v>39437</v>
      </c>
      <c r="D290" s="8">
        <f ca="1">ROUND(YEARFRAC(NEET[[#This Row],[Date_of_Birth]],TODAY()),0)</f>
        <v>18</v>
      </c>
      <c r="E290" t="s">
        <v>27</v>
      </c>
      <c r="F290" t="s">
        <v>15</v>
      </c>
      <c r="G290" t="s">
        <v>16</v>
      </c>
      <c r="H290">
        <v>1</v>
      </c>
      <c r="I290">
        <v>139</v>
      </c>
      <c r="J290">
        <v>72</v>
      </c>
      <c r="K290">
        <v>131</v>
      </c>
      <c r="L290">
        <v>342</v>
      </c>
      <c r="M290">
        <v>2025</v>
      </c>
    </row>
    <row r="291" spans="1:13" x14ac:dyDescent="0.25">
      <c r="A291" t="s">
        <v>328</v>
      </c>
      <c r="B291" t="s">
        <v>20</v>
      </c>
      <c r="C291" s="1">
        <v>38706</v>
      </c>
      <c r="D291" s="8">
        <f ca="1">ROUND(YEARFRAC(NEET[[#This Row],[Date_of_Birth]],TODAY()),0)</f>
        <v>20</v>
      </c>
      <c r="E291" t="s">
        <v>24</v>
      </c>
      <c r="F291" t="s">
        <v>15</v>
      </c>
      <c r="G291" t="s">
        <v>16</v>
      </c>
      <c r="H291">
        <v>3</v>
      </c>
      <c r="I291">
        <v>167</v>
      </c>
      <c r="J291">
        <v>73</v>
      </c>
      <c r="K291">
        <v>225</v>
      </c>
      <c r="L291">
        <v>465</v>
      </c>
      <c r="M291">
        <v>2023</v>
      </c>
    </row>
    <row r="292" spans="1:13" x14ac:dyDescent="0.25">
      <c r="A292" t="s">
        <v>329</v>
      </c>
      <c r="B292" t="s">
        <v>13</v>
      </c>
      <c r="C292" s="1">
        <v>37081</v>
      </c>
      <c r="D292" s="8">
        <f ca="1">ROUND(YEARFRAC(NEET[[#This Row],[Date_of_Birth]],TODAY()),0)</f>
        <v>25</v>
      </c>
      <c r="E292" t="s">
        <v>69</v>
      </c>
      <c r="F292" t="s">
        <v>70</v>
      </c>
      <c r="G292" t="s">
        <v>22</v>
      </c>
      <c r="H292">
        <v>2</v>
      </c>
      <c r="I292">
        <v>135</v>
      </c>
      <c r="J292">
        <v>45</v>
      </c>
      <c r="K292">
        <v>201</v>
      </c>
      <c r="L292">
        <v>381</v>
      </c>
      <c r="M292">
        <v>2025</v>
      </c>
    </row>
    <row r="293" spans="1:13" x14ac:dyDescent="0.25">
      <c r="A293" t="s">
        <v>330</v>
      </c>
      <c r="B293" t="s">
        <v>20</v>
      </c>
      <c r="C293" s="1">
        <v>37539</v>
      </c>
      <c r="D293" s="8">
        <f ca="1">ROUND(YEARFRAC(NEET[[#This Row],[Date_of_Birth]],TODAY()),0)</f>
        <v>24</v>
      </c>
      <c r="E293" t="s">
        <v>69</v>
      </c>
      <c r="F293" t="s">
        <v>70</v>
      </c>
      <c r="G293" t="s">
        <v>34</v>
      </c>
      <c r="H293">
        <v>4</v>
      </c>
      <c r="I293">
        <v>130</v>
      </c>
      <c r="J293">
        <v>155</v>
      </c>
      <c r="K293">
        <v>132</v>
      </c>
      <c r="L293">
        <v>417</v>
      </c>
      <c r="M293">
        <v>2023</v>
      </c>
    </row>
    <row r="294" spans="1:13" x14ac:dyDescent="0.25">
      <c r="A294" t="s">
        <v>331</v>
      </c>
      <c r="B294" t="s">
        <v>20</v>
      </c>
      <c r="C294" s="1">
        <v>39121</v>
      </c>
      <c r="D294" s="8">
        <f ca="1">ROUND(YEARFRAC(NEET[[#This Row],[Date_of_Birth]],TODAY()),0)</f>
        <v>19</v>
      </c>
      <c r="E294" t="s">
        <v>69</v>
      </c>
      <c r="F294" t="s">
        <v>70</v>
      </c>
      <c r="G294" t="s">
        <v>34</v>
      </c>
      <c r="H294">
        <v>4</v>
      </c>
      <c r="I294">
        <v>53</v>
      </c>
      <c r="J294">
        <v>133</v>
      </c>
      <c r="K294">
        <v>323</v>
      </c>
      <c r="L294">
        <v>509</v>
      </c>
      <c r="M294">
        <v>2025</v>
      </c>
    </row>
    <row r="295" spans="1:13" x14ac:dyDescent="0.25">
      <c r="A295" t="s">
        <v>332</v>
      </c>
      <c r="B295" t="s">
        <v>20</v>
      </c>
      <c r="C295" s="1">
        <v>38909</v>
      </c>
      <c r="D295" s="8">
        <f ca="1">ROUND(YEARFRAC(NEET[[#This Row],[Date_of_Birth]],TODAY()),0)</f>
        <v>20</v>
      </c>
      <c r="E295" t="s">
        <v>53</v>
      </c>
      <c r="F295" t="s">
        <v>15</v>
      </c>
      <c r="G295" t="s">
        <v>34</v>
      </c>
      <c r="H295">
        <v>2</v>
      </c>
      <c r="I295">
        <v>53</v>
      </c>
      <c r="J295">
        <v>147</v>
      </c>
      <c r="K295">
        <v>243</v>
      </c>
      <c r="L295">
        <v>443</v>
      </c>
      <c r="M295">
        <v>2024</v>
      </c>
    </row>
    <row r="296" spans="1:13" x14ac:dyDescent="0.25">
      <c r="A296" t="s">
        <v>333</v>
      </c>
      <c r="B296" t="s">
        <v>20</v>
      </c>
      <c r="C296" s="1">
        <v>38552</v>
      </c>
      <c r="D296" s="8">
        <f ca="1">ROUND(YEARFRAC(NEET[[#This Row],[Date_of_Birth]],TODAY()),0)</f>
        <v>21</v>
      </c>
      <c r="E296" t="s">
        <v>24</v>
      </c>
      <c r="F296" t="s">
        <v>15</v>
      </c>
      <c r="G296" t="s">
        <v>25</v>
      </c>
      <c r="H296">
        <v>3</v>
      </c>
      <c r="I296">
        <v>112</v>
      </c>
      <c r="J296">
        <v>102</v>
      </c>
      <c r="K296">
        <v>232</v>
      </c>
      <c r="L296">
        <v>446</v>
      </c>
      <c r="M296">
        <v>2023</v>
      </c>
    </row>
    <row r="297" spans="1:13" x14ac:dyDescent="0.25">
      <c r="A297" t="s">
        <v>334</v>
      </c>
      <c r="B297" t="s">
        <v>20</v>
      </c>
      <c r="C297" s="1">
        <v>36933</v>
      </c>
      <c r="D297" s="8">
        <f ca="1">ROUND(YEARFRAC(NEET[[#This Row],[Date_of_Birth]],TODAY()),0)</f>
        <v>25</v>
      </c>
      <c r="E297" t="s">
        <v>21</v>
      </c>
      <c r="F297" t="s">
        <v>21</v>
      </c>
      <c r="G297" t="s">
        <v>25</v>
      </c>
      <c r="H297">
        <v>4</v>
      </c>
      <c r="I297">
        <v>147</v>
      </c>
      <c r="J297">
        <v>34</v>
      </c>
      <c r="K297">
        <v>123</v>
      </c>
      <c r="L297">
        <v>304</v>
      </c>
      <c r="M297">
        <v>2026</v>
      </c>
    </row>
    <row r="298" spans="1:13" x14ac:dyDescent="0.25">
      <c r="A298" t="s">
        <v>335</v>
      </c>
      <c r="B298" t="s">
        <v>13</v>
      </c>
      <c r="C298" s="1">
        <v>37354</v>
      </c>
      <c r="D298" s="8">
        <f ca="1">ROUND(YEARFRAC(NEET[[#This Row],[Date_of_Birth]],TODAY()),0)</f>
        <v>24</v>
      </c>
      <c r="E298" t="s">
        <v>36</v>
      </c>
      <c r="F298" t="s">
        <v>37</v>
      </c>
      <c r="G298" t="s">
        <v>29</v>
      </c>
      <c r="H298">
        <v>3</v>
      </c>
      <c r="I298">
        <v>63</v>
      </c>
      <c r="J298">
        <v>107</v>
      </c>
      <c r="K298">
        <v>141</v>
      </c>
      <c r="L298">
        <v>311</v>
      </c>
      <c r="M298">
        <v>2023</v>
      </c>
    </row>
    <row r="299" spans="1:13" x14ac:dyDescent="0.25">
      <c r="A299" t="s">
        <v>336</v>
      </c>
      <c r="B299" t="s">
        <v>13</v>
      </c>
      <c r="C299" s="1">
        <v>38049</v>
      </c>
      <c r="D299" s="8">
        <f ca="1">ROUND(YEARFRAC(NEET[[#This Row],[Date_of_Birth]],TODAY()),0)</f>
        <v>22</v>
      </c>
      <c r="E299" t="s">
        <v>21</v>
      </c>
      <c r="F299" t="s">
        <v>21</v>
      </c>
      <c r="G299" t="s">
        <v>25</v>
      </c>
      <c r="H299">
        <v>4</v>
      </c>
      <c r="I299">
        <v>72</v>
      </c>
      <c r="J299">
        <v>43</v>
      </c>
      <c r="K299">
        <v>262</v>
      </c>
      <c r="L299">
        <v>377</v>
      </c>
      <c r="M299">
        <v>2023</v>
      </c>
    </row>
    <row r="300" spans="1:13" x14ac:dyDescent="0.25">
      <c r="A300" t="s">
        <v>337</v>
      </c>
      <c r="B300" t="s">
        <v>20</v>
      </c>
      <c r="C300" s="1">
        <v>36530</v>
      </c>
      <c r="D300" s="8">
        <f ca="1">ROUND(YEARFRAC(NEET[[#This Row],[Date_of_Birth]],TODAY()),0)</f>
        <v>26</v>
      </c>
      <c r="E300" t="s">
        <v>62</v>
      </c>
      <c r="F300" t="s">
        <v>15</v>
      </c>
      <c r="G300" t="s">
        <v>25</v>
      </c>
      <c r="H300">
        <v>1</v>
      </c>
      <c r="I300">
        <v>152</v>
      </c>
      <c r="J300">
        <v>49</v>
      </c>
      <c r="K300">
        <v>127</v>
      </c>
      <c r="L300">
        <v>328</v>
      </c>
      <c r="M300">
        <v>2025</v>
      </c>
    </row>
    <row r="301" spans="1:13" x14ac:dyDescent="0.25">
      <c r="A301" t="s">
        <v>338</v>
      </c>
      <c r="B301" t="s">
        <v>13</v>
      </c>
      <c r="C301" s="1">
        <v>37019</v>
      </c>
      <c r="D301" s="8">
        <f ca="1">ROUND(YEARFRAC(NEET[[#This Row],[Date_of_Birth]],TODAY()),0)</f>
        <v>25</v>
      </c>
      <c r="E301" t="s">
        <v>31</v>
      </c>
      <c r="F301" t="s">
        <v>32</v>
      </c>
      <c r="G301" t="s">
        <v>25</v>
      </c>
      <c r="H301">
        <v>4</v>
      </c>
      <c r="I301">
        <v>138</v>
      </c>
      <c r="J301">
        <v>63</v>
      </c>
      <c r="K301">
        <v>304</v>
      </c>
      <c r="L301">
        <v>505</v>
      </c>
      <c r="M301">
        <v>2023</v>
      </c>
    </row>
    <row r="302" spans="1:13" x14ac:dyDescent="0.25">
      <c r="A302" t="s">
        <v>339</v>
      </c>
      <c r="B302" t="s">
        <v>13</v>
      </c>
      <c r="C302" s="1">
        <v>36948</v>
      </c>
      <c r="D302" s="8">
        <f ca="1">ROUND(YEARFRAC(NEET[[#This Row],[Date_of_Birth]],TODAY()),0)</f>
        <v>25</v>
      </c>
      <c r="E302" t="s">
        <v>46</v>
      </c>
      <c r="F302" t="s">
        <v>15</v>
      </c>
      <c r="G302" t="s">
        <v>25</v>
      </c>
      <c r="H302">
        <v>2</v>
      </c>
      <c r="I302">
        <v>124</v>
      </c>
      <c r="J302">
        <v>106</v>
      </c>
      <c r="K302">
        <v>130</v>
      </c>
      <c r="L302">
        <v>360</v>
      </c>
      <c r="M302">
        <v>2023</v>
      </c>
    </row>
    <row r="303" spans="1:13" x14ac:dyDescent="0.25">
      <c r="A303" t="s">
        <v>340</v>
      </c>
      <c r="B303" t="s">
        <v>13</v>
      </c>
      <c r="C303" s="1">
        <v>39025</v>
      </c>
      <c r="D303" s="8">
        <f ca="1">ROUND(YEARFRAC(NEET[[#This Row],[Date_of_Birth]],TODAY()),0)</f>
        <v>20</v>
      </c>
      <c r="E303" t="s">
        <v>21</v>
      </c>
      <c r="F303" t="s">
        <v>21</v>
      </c>
      <c r="G303" t="s">
        <v>16</v>
      </c>
      <c r="H303">
        <v>4</v>
      </c>
      <c r="I303">
        <v>72</v>
      </c>
      <c r="J303">
        <v>142</v>
      </c>
      <c r="K303">
        <v>239</v>
      </c>
      <c r="L303">
        <v>453</v>
      </c>
      <c r="M303">
        <v>2026</v>
      </c>
    </row>
    <row r="304" spans="1:13" x14ac:dyDescent="0.25">
      <c r="A304" t="s">
        <v>341</v>
      </c>
      <c r="B304" t="s">
        <v>20</v>
      </c>
      <c r="C304" s="1">
        <v>37415</v>
      </c>
      <c r="D304" s="8">
        <f ca="1">ROUND(YEARFRAC(NEET[[#This Row],[Date_of_Birth]],TODAY()),0)</f>
        <v>24</v>
      </c>
      <c r="E304" t="s">
        <v>14</v>
      </c>
      <c r="F304" t="s">
        <v>15</v>
      </c>
      <c r="G304" t="s">
        <v>29</v>
      </c>
      <c r="H304">
        <v>4</v>
      </c>
      <c r="I304">
        <v>55</v>
      </c>
      <c r="J304">
        <v>65</v>
      </c>
      <c r="K304">
        <v>123</v>
      </c>
      <c r="L304">
        <v>243</v>
      </c>
      <c r="M304">
        <v>2024</v>
      </c>
    </row>
    <row r="305" spans="1:13" x14ac:dyDescent="0.25">
      <c r="A305" t="s">
        <v>342</v>
      </c>
      <c r="B305" t="s">
        <v>13</v>
      </c>
      <c r="C305" s="1">
        <v>37540</v>
      </c>
      <c r="D305" s="8">
        <f ca="1">ROUND(YEARFRAC(NEET[[#This Row],[Date_of_Birth]],TODAY()),0)</f>
        <v>24</v>
      </c>
      <c r="E305" t="s">
        <v>24</v>
      </c>
      <c r="F305" t="s">
        <v>15</v>
      </c>
      <c r="G305" t="s">
        <v>22</v>
      </c>
      <c r="H305">
        <v>3</v>
      </c>
      <c r="I305">
        <v>51</v>
      </c>
      <c r="J305">
        <v>93</v>
      </c>
      <c r="K305">
        <v>343</v>
      </c>
      <c r="L305">
        <v>487</v>
      </c>
      <c r="M305">
        <v>2024</v>
      </c>
    </row>
    <row r="306" spans="1:13" x14ac:dyDescent="0.25">
      <c r="A306" t="s">
        <v>343</v>
      </c>
      <c r="B306" t="s">
        <v>20</v>
      </c>
      <c r="C306" s="1">
        <v>39589</v>
      </c>
      <c r="D306" s="8">
        <f ca="1">ROUND(YEARFRAC(NEET[[#This Row],[Date_of_Birth]],TODAY()),0)</f>
        <v>18</v>
      </c>
      <c r="E306" t="s">
        <v>18</v>
      </c>
      <c r="F306" t="s">
        <v>15</v>
      </c>
      <c r="G306" t="s">
        <v>22</v>
      </c>
      <c r="H306">
        <v>1</v>
      </c>
      <c r="I306">
        <v>105</v>
      </c>
      <c r="J306">
        <v>43</v>
      </c>
      <c r="K306">
        <v>182</v>
      </c>
      <c r="L306">
        <v>330</v>
      </c>
      <c r="M306">
        <v>2026</v>
      </c>
    </row>
    <row r="307" spans="1:13" x14ac:dyDescent="0.25">
      <c r="A307" t="s">
        <v>344</v>
      </c>
      <c r="B307" t="s">
        <v>20</v>
      </c>
      <c r="C307" s="1">
        <v>39139</v>
      </c>
      <c r="D307" s="8">
        <f ca="1">ROUND(YEARFRAC(NEET[[#This Row],[Date_of_Birth]],TODAY()),0)</f>
        <v>19</v>
      </c>
      <c r="E307" t="s">
        <v>27</v>
      </c>
      <c r="F307" t="s">
        <v>15</v>
      </c>
      <c r="G307" t="s">
        <v>34</v>
      </c>
      <c r="H307">
        <v>2</v>
      </c>
      <c r="I307">
        <v>48</v>
      </c>
      <c r="J307">
        <v>165</v>
      </c>
      <c r="K307">
        <v>66</v>
      </c>
      <c r="L307">
        <v>279</v>
      </c>
      <c r="M307">
        <v>2026</v>
      </c>
    </row>
    <row r="308" spans="1:13" x14ac:dyDescent="0.25">
      <c r="A308" t="s">
        <v>345</v>
      </c>
      <c r="B308" t="s">
        <v>13</v>
      </c>
      <c r="C308" s="1">
        <v>38022</v>
      </c>
      <c r="D308" s="8">
        <f ca="1">ROUND(YEARFRAC(NEET[[#This Row],[Date_of_Birth]],TODAY()),0)</f>
        <v>22</v>
      </c>
      <c r="E308" t="s">
        <v>42</v>
      </c>
      <c r="F308" t="s">
        <v>15</v>
      </c>
      <c r="G308" t="s">
        <v>29</v>
      </c>
      <c r="H308">
        <v>1</v>
      </c>
      <c r="I308">
        <v>74</v>
      </c>
      <c r="J308">
        <v>150</v>
      </c>
      <c r="K308">
        <v>97</v>
      </c>
      <c r="L308">
        <v>321</v>
      </c>
      <c r="M308">
        <v>2024</v>
      </c>
    </row>
    <row r="309" spans="1:13" x14ac:dyDescent="0.25">
      <c r="A309" t="s">
        <v>346</v>
      </c>
      <c r="B309" t="s">
        <v>20</v>
      </c>
      <c r="C309" s="1">
        <v>36689</v>
      </c>
      <c r="D309" s="8">
        <f ca="1">ROUND(YEARFRAC(NEET[[#This Row],[Date_of_Birth]],TODAY()),0)</f>
        <v>26</v>
      </c>
      <c r="E309" t="s">
        <v>48</v>
      </c>
      <c r="F309" t="s">
        <v>49</v>
      </c>
      <c r="G309" t="s">
        <v>34</v>
      </c>
      <c r="H309">
        <v>4</v>
      </c>
      <c r="I309">
        <v>45</v>
      </c>
      <c r="J309">
        <v>131</v>
      </c>
      <c r="K309">
        <v>319</v>
      </c>
      <c r="L309">
        <v>495</v>
      </c>
      <c r="M309">
        <v>2023</v>
      </c>
    </row>
    <row r="310" spans="1:13" x14ac:dyDescent="0.25">
      <c r="A310" t="s">
        <v>347</v>
      </c>
      <c r="B310" t="s">
        <v>20</v>
      </c>
      <c r="C310" s="1">
        <v>39149</v>
      </c>
      <c r="D310" s="8">
        <f ca="1">ROUND(YEARFRAC(NEET[[#This Row],[Date_of_Birth]],TODAY()),0)</f>
        <v>19</v>
      </c>
      <c r="E310" t="s">
        <v>42</v>
      </c>
      <c r="F310" t="s">
        <v>15</v>
      </c>
      <c r="G310" t="s">
        <v>16</v>
      </c>
      <c r="H310">
        <v>1</v>
      </c>
      <c r="I310">
        <v>167</v>
      </c>
      <c r="J310">
        <v>69</v>
      </c>
      <c r="K310">
        <v>202</v>
      </c>
      <c r="L310">
        <v>438</v>
      </c>
      <c r="M310">
        <v>2024</v>
      </c>
    </row>
    <row r="311" spans="1:13" x14ac:dyDescent="0.25">
      <c r="A311" t="s">
        <v>348</v>
      </c>
      <c r="B311" t="s">
        <v>20</v>
      </c>
      <c r="C311" s="1">
        <v>37162</v>
      </c>
      <c r="D311" s="8">
        <f ca="1">ROUND(YEARFRAC(NEET[[#This Row],[Date_of_Birth]],TODAY()),0)</f>
        <v>25</v>
      </c>
      <c r="E311" t="s">
        <v>42</v>
      </c>
      <c r="F311" t="s">
        <v>15</v>
      </c>
      <c r="G311" t="s">
        <v>22</v>
      </c>
      <c r="H311">
        <v>4</v>
      </c>
      <c r="I311">
        <v>113</v>
      </c>
      <c r="J311">
        <v>130</v>
      </c>
      <c r="K311">
        <v>360</v>
      </c>
      <c r="L311">
        <v>603</v>
      </c>
      <c r="M311">
        <v>2023</v>
      </c>
    </row>
    <row r="312" spans="1:13" x14ac:dyDescent="0.25">
      <c r="A312" t="s">
        <v>349</v>
      </c>
      <c r="B312" t="s">
        <v>20</v>
      </c>
      <c r="C312" s="1">
        <v>37527</v>
      </c>
      <c r="D312" s="8">
        <f ca="1">ROUND(YEARFRAC(NEET[[#This Row],[Date_of_Birth]],TODAY()),0)</f>
        <v>24</v>
      </c>
      <c r="E312" t="s">
        <v>14</v>
      </c>
      <c r="F312" t="s">
        <v>15</v>
      </c>
      <c r="G312" t="s">
        <v>25</v>
      </c>
      <c r="H312">
        <v>2</v>
      </c>
      <c r="I312">
        <v>141</v>
      </c>
      <c r="J312">
        <v>59</v>
      </c>
      <c r="K312">
        <v>292</v>
      </c>
      <c r="L312">
        <v>492</v>
      </c>
      <c r="M312">
        <v>2023</v>
      </c>
    </row>
    <row r="313" spans="1:13" x14ac:dyDescent="0.25">
      <c r="A313" t="s">
        <v>350</v>
      </c>
      <c r="B313" t="s">
        <v>20</v>
      </c>
      <c r="C313" s="1">
        <v>39425</v>
      </c>
      <c r="D313" s="8">
        <f ca="1">ROUND(YEARFRAC(NEET[[#This Row],[Date_of_Birth]],TODAY()),0)</f>
        <v>18</v>
      </c>
      <c r="E313" t="s">
        <v>40</v>
      </c>
      <c r="F313" t="s">
        <v>15</v>
      </c>
      <c r="G313" t="s">
        <v>29</v>
      </c>
      <c r="H313">
        <v>2</v>
      </c>
      <c r="I313">
        <v>32</v>
      </c>
      <c r="J313">
        <v>71</v>
      </c>
      <c r="K313">
        <v>314</v>
      </c>
      <c r="L313">
        <v>417</v>
      </c>
      <c r="M313">
        <v>2024</v>
      </c>
    </row>
    <row r="314" spans="1:13" x14ac:dyDescent="0.25">
      <c r="A314" t="s">
        <v>351</v>
      </c>
      <c r="B314" t="s">
        <v>20</v>
      </c>
      <c r="C314" s="1">
        <v>39597</v>
      </c>
      <c r="D314" s="8">
        <f ca="1">ROUND(YEARFRAC(NEET[[#This Row],[Date_of_Birth]],TODAY()),0)</f>
        <v>18</v>
      </c>
      <c r="E314" t="s">
        <v>69</v>
      </c>
      <c r="F314" t="s">
        <v>70</v>
      </c>
      <c r="G314" t="s">
        <v>16</v>
      </c>
      <c r="H314">
        <v>3</v>
      </c>
      <c r="I314">
        <v>98</v>
      </c>
      <c r="J314">
        <v>60</v>
      </c>
      <c r="K314">
        <v>75</v>
      </c>
      <c r="L314">
        <v>233</v>
      </c>
      <c r="M314">
        <v>2023</v>
      </c>
    </row>
    <row r="315" spans="1:13" x14ac:dyDescent="0.25">
      <c r="A315" t="s">
        <v>352</v>
      </c>
      <c r="B315" t="s">
        <v>20</v>
      </c>
      <c r="C315" s="1">
        <v>37603</v>
      </c>
      <c r="D315" s="8">
        <f ca="1">ROUND(YEARFRAC(NEET[[#This Row],[Date_of_Birth]],TODAY()),0)</f>
        <v>23</v>
      </c>
      <c r="E315" t="s">
        <v>36</v>
      </c>
      <c r="F315" t="s">
        <v>37</v>
      </c>
      <c r="G315" t="s">
        <v>34</v>
      </c>
      <c r="H315">
        <v>1</v>
      </c>
      <c r="I315">
        <v>177</v>
      </c>
      <c r="J315">
        <v>49</v>
      </c>
      <c r="K315">
        <v>314</v>
      </c>
      <c r="L315">
        <v>540</v>
      </c>
      <c r="M315">
        <v>2024</v>
      </c>
    </row>
    <row r="316" spans="1:13" x14ac:dyDescent="0.25">
      <c r="A316" t="s">
        <v>353</v>
      </c>
      <c r="B316" t="s">
        <v>13</v>
      </c>
      <c r="C316" s="1">
        <v>38032</v>
      </c>
      <c r="D316" s="8">
        <f ca="1">ROUND(YEARFRAC(NEET[[#This Row],[Date_of_Birth]],TODAY()),0)</f>
        <v>22</v>
      </c>
      <c r="E316" t="s">
        <v>40</v>
      </c>
      <c r="F316" t="s">
        <v>15</v>
      </c>
      <c r="G316" t="s">
        <v>25</v>
      </c>
      <c r="H316">
        <v>1</v>
      </c>
      <c r="I316">
        <v>95</v>
      </c>
      <c r="J316">
        <v>56</v>
      </c>
      <c r="K316">
        <v>353</v>
      </c>
      <c r="L316">
        <v>504</v>
      </c>
      <c r="M316">
        <v>2023</v>
      </c>
    </row>
    <row r="317" spans="1:13" x14ac:dyDescent="0.25">
      <c r="A317" t="s">
        <v>354</v>
      </c>
      <c r="B317" t="s">
        <v>13</v>
      </c>
      <c r="C317" s="1">
        <v>37527</v>
      </c>
      <c r="D317" s="8">
        <f ca="1">ROUND(YEARFRAC(NEET[[#This Row],[Date_of_Birth]],TODAY()),0)</f>
        <v>24</v>
      </c>
      <c r="E317" t="s">
        <v>53</v>
      </c>
      <c r="F317" t="s">
        <v>15</v>
      </c>
      <c r="G317" t="s">
        <v>16</v>
      </c>
      <c r="H317">
        <v>1</v>
      </c>
      <c r="I317">
        <v>150</v>
      </c>
      <c r="J317">
        <v>123</v>
      </c>
      <c r="K317">
        <v>256</v>
      </c>
      <c r="L317">
        <v>529</v>
      </c>
      <c r="M317">
        <v>2026</v>
      </c>
    </row>
    <row r="318" spans="1:13" x14ac:dyDescent="0.25">
      <c r="A318" t="s">
        <v>355</v>
      </c>
      <c r="B318" t="s">
        <v>13</v>
      </c>
      <c r="C318" s="1">
        <v>37445</v>
      </c>
      <c r="D318" s="8">
        <f ca="1">ROUND(YEARFRAC(NEET[[#This Row],[Date_of_Birth]],TODAY()),0)</f>
        <v>24</v>
      </c>
      <c r="E318" t="s">
        <v>46</v>
      </c>
      <c r="F318" t="s">
        <v>15</v>
      </c>
      <c r="G318" t="s">
        <v>25</v>
      </c>
      <c r="H318">
        <v>3</v>
      </c>
      <c r="I318">
        <v>93</v>
      </c>
      <c r="J318">
        <v>136</v>
      </c>
      <c r="K318">
        <v>223</v>
      </c>
      <c r="L318">
        <v>452</v>
      </c>
      <c r="M318">
        <v>2023</v>
      </c>
    </row>
    <row r="319" spans="1:13" x14ac:dyDescent="0.25">
      <c r="A319" t="s">
        <v>356</v>
      </c>
      <c r="B319" t="s">
        <v>20</v>
      </c>
      <c r="C319" s="1">
        <v>37260</v>
      </c>
      <c r="D319" s="8">
        <f ca="1">ROUND(YEARFRAC(NEET[[#This Row],[Date_of_Birth]],TODAY()),0)</f>
        <v>24</v>
      </c>
      <c r="E319" t="s">
        <v>62</v>
      </c>
      <c r="F319" t="s">
        <v>15</v>
      </c>
      <c r="G319" t="s">
        <v>29</v>
      </c>
      <c r="H319">
        <v>3</v>
      </c>
      <c r="I319">
        <v>162</v>
      </c>
      <c r="J319">
        <v>41</v>
      </c>
      <c r="K319">
        <v>265</v>
      </c>
      <c r="L319">
        <v>468</v>
      </c>
      <c r="M319">
        <v>2025</v>
      </c>
    </row>
    <row r="320" spans="1:13" x14ac:dyDescent="0.25">
      <c r="A320" t="s">
        <v>357</v>
      </c>
      <c r="B320" t="s">
        <v>20</v>
      </c>
      <c r="C320" s="1">
        <v>36879</v>
      </c>
      <c r="D320" s="8">
        <f ca="1">ROUND(YEARFRAC(NEET[[#This Row],[Date_of_Birth]],TODAY()),0)</f>
        <v>25</v>
      </c>
      <c r="E320" t="s">
        <v>42</v>
      </c>
      <c r="F320" t="s">
        <v>15</v>
      </c>
      <c r="G320" t="s">
        <v>16</v>
      </c>
      <c r="H320">
        <v>3</v>
      </c>
      <c r="I320">
        <v>146</v>
      </c>
      <c r="J320">
        <v>32</v>
      </c>
      <c r="K320">
        <v>248</v>
      </c>
      <c r="L320">
        <v>426</v>
      </c>
      <c r="M320">
        <v>2024</v>
      </c>
    </row>
    <row r="321" spans="1:13" x14ac:dyDescent="0.25">
      <c r="A321" t="s">
        <v>358</v>
      </c>
      <c r="B321" t="s">
        <v>13</v>
      </c>
      <c r="C321" s="1">
        <v>38426</v>
      </c>
      <c r="D321" s="8">
        <f ca="1">ROUND(YEARFRAC(NEET[[#This Row],[Date_of_Birth]],TODAY()),0)</f>
        <v>21</v>
      </c>
      <c r="E321" t="s">
        <v>46</v>
      </c>
      <c r="F321" t="s">
        <v>15</v>
      </c>
      <c r="G321" t="s">
        <v>34</v>
      </c>
      <c r="H321">
        <v>1</v>
      </c>
      <c r="I321">
        <v>156</v>
      </c>
      <c r="J321">
        <v>80</v>
      </c>
      <c r="K321">
        <v>339</v>
      </c>
      <c r="L321">
        <v>575</v>
      </c>
      <c r="M321">
        <v>2023</v>
      </c>
    </row>
    <row r="322" spans="1:13" x14ac:dyDescent="0.25">
      <c r="A322" t="s">
        <v>359</v>
      </c>
      <c r="B322" t="s">
        <v>20</v>
      </c>
      <c r="C322" s="1">
        <v>37480</v>
      </c>
      <c r="D322" s="8">
        <f ca="1">ROUND(YEARFRAC(NEET[[#This Row],[Date_of_Birth]],TODAY()),0)</f>
        <v>24</v>
      </c>
      <c r="E322" t="s">
        <v>42</v>
      </c>
      <c r="F322" t="s">
        <v>15</v>
      </c>
      <c r="G322" t="s">
        <v>25</v>
      </c>
      <c r="H322">
        <v>3</v>
      </c>
      <c r="I322">
        <v>118</v>
      </c>
      <c r="J322">
        <v>32</v>
      </c>
      <c r="K322">
        <v>231</v>
      </c>
      <c r="L322">
        <v>381</v>
      </c>
      <c r="M322">
        <v>2024</v>
      </c>
    </row>
    <row r="323" spans="1:13" x14ac:dyDescent="0.25">
      <c r="A323" t="s">
        <v>360</v>
      </c>
      <c r="B323" t="s">
        <v>20</v>
      </c>
      <c r="C323" s="1">
        <v>38696</v>
      </c>
      <c r="D323" s="8">
        <f ca="1">ROUND(YEARFRAC(NEET[[#This Row],[Date_of_Birth]],TODAY()),0)</f>
        <v>20</v>
      </c>
      <c r="E323" t="s">
        <v>62</v>
      </c>
      <c r="F323" t="s">
        <v>15</v>
      </c>
      <c r="G323" t="s">
        <v>25</v>
      </c>
      <c r="H323">
        <v>1</v>
      </c>
      <c r="I323">
        <v>137</v>
      </c>
      <c r="J323">
        <v>155</v>
      </c>
      <c r="K323">
        <v>90</v>
      </c>
      <c r="L323">
        <v>382</v>
      </c>
      <c r="M323">
        <v>2024</v>
      </c>
    </row>
    <row r="324" spans="1:13" x14ac:dyDescent="0.25">
      <c r="A324" t="s">
        <v>361</v>
      </c>
      <c r="B324" t="s">
        <v>13</v>
      </c>
      <c r="C324" s="1">
        <v>38654</v>
      </c>
      <c r="D324" s="8">
        <f ca="1">ROUND(YEARFRAC(NEET[[#This Row],[Date_of_Birth]],TODAY()),0)</f>
        <v>21</v>
      </c>
      <c r="E324" t="s">
        <v>18</v>
      </c>
      <c r="F324" t="s">
        <v>15</v>
      </c>
      <c r="G324" t="s">
        <v>25</v>
      </c>
      <c r="H324">
        <v>4</v>
      </c>
      <c r="I324">
        <v>125</v>
      </c>
      <c r="J324">
        <v>147</v>
      </c>
      <c r="K324">
        <v>103</v>
      </c>
      <c r="L324">
        <v>375</v>
      </c>
      <c r="M324">
        <v>2023</v>
      </c>
    </row>
    <row r="325" spans="1:13" x14ac:dyDescent="0.25">
      <c r="A325" t="s">
        <v>362</v>
      </c>
      <c r="B325" t="s">
        <v>20</v>
      </c>
      <c r="C325" s="1">
        <v>38307</v>
      </c>
      <c r="D325" s="8">
        <f ca="1">ROUND(YEARFRAC(NEET[[#This Row],[Date_of_Birth]],TODAY()),0)</f>
        <v>22</v>
      </c>
      <c r="E325" t="s">
        <v>21</v>
      </c>
      <c r="F325" t="s">
        <v>21</v>
      </c>
      <c r="G325" t="s">
        <v>29</v>
      </c>
      <c r="H325">
        <v>4</v>
      </c>
      <c r="I325">
        <v>63</v>
      </c>
      <c r="J325">
        <v>90</v>
      </c>
      <c r="K325">
        <v>209</v>
      </c>
      <c r="L325">
        <v>362</v>
      </c>
      <c r="M325">
        <v>2025</v>
      </c>
    </row>
    <row r="326" spans="1:13" x14ac:dyDescent="0.25">
      <c r="A326" t="s">
        <v>363</v>
      </c>
      <c r="B326" t="s">
        <v>13</v>
      </c>
      <c r="C326" s="1">
        <v>38380</v>
      </c>
      <c r="D326" s="8">
        <f ca="1">ROUND(YEARFRAC(NEET[[#This Row],[Date_of_Birth]],TODAY()),0)</f>
        <v>21</v>
      </c>
      <c r="E326" t="s">
        <v>24</v>
      </c>
      <c r="F326" t="s">
        <v>15</v>
      </c>
      <c r="G326" t="s">
        <v>25</v>
      </c>
      <c r="H326">
        <v>2</v>
      </c>
      <c r="I326">
        <v>89</v>
      </c>
      <c r="J326">
        <v>49</v>
      </c>
      <c r="K326">
        <v>163</v>
      </c>
      <c r="L326">
        <v>301</v>
      </c>
      <c r="M326">
        <v>2024</v>
      </c>
    </row>
    <row r="327" spans="1:13" x14ac:dyDescent="0.25">
      <c r="A327" t="s">
        <v>364</v>
      </c>
      <c r="B327" t="s">
        <v>13</v>
      </c>
      <c r="C327" s="1">
        <v>38367</v>
      </c>
      <c r="D327" s="8">
        <f ca="1">ROUND(YEARFRAC(NEET[[#This Row],[Date_of_Birth]],TODAY()),0)</f>
        <v>21</v>
      </c>
      <c r="E327" t="s">
        <v>73</v>
      </c>
      <c r="F327" t="s">
        <v>15</v>
      </c>
      <c r="G327" t="s">
        <v>29</v>
      </c>
      <c r="H327">
        <v>4</v>
      </c>
      <c r="I327">
        <v>110</v>
      </c>
      <c r="J327">
        <v>134</v>
      </c>
      <c r="K327">
        <v>121</v>
      </c>
      <c r="L327">
        <v>365</v>
      </c>
      <c r="M327">
        <v>2026</v>
      </c>
    </row>
    <row r="328" spans="1:13" x14ac:dyDescent="0.25">
      <c r="A328" t="s">
        <v>365</v>
      </c>
      <c r="B328" t="s">
        <v>13</v>
      </c>
      <c r="C328" s="1">
        <v>37611</v>
      </c>
      <c r="D328" s="8">
        <f ca="1">ROUND(YEARFRAC(NEET[[#This Row],[Date_of_Birth]],TODAY()),0)</f>
        <v>23</v>
      </c>
      <c r="E328" t="s">
        <v>31</v>
      </c>
      <c r="F328" t="s">
        <v>32</v>
      </c>
      <c r="G328" t="s">
        <v>29</v>
      </c>
      <c r="H328">
        <v>2</v>
      </c>
      <c r="I328">
        <v>60</v>
      </c>
      <c r="J328">
        <v>53</v>
      </c>
      <c r="K328">
        <v>140</v>
      </c>
      <c r="L328">
        <v>253</v>
      </c>
      <c r="M328">
        <v>2024</v>
      </c>
    </row>
    <row r="329" spans="1:13" x14ac:dyDescent="0.25">
      <c r="A329" t="s">
        <v>366</v>
      </c>
      <c r="B329" t="s">
        <v>20</v>
      </c>
      <c r="C329" s="1">
        <v>36899</v>
      </c>
      <c r="D329" s="8">
        <f ca="1">ROUND(YEARFRAC(NEET[[#This Row],[Date_of_Birth]],TODAY()),0)</f>
        <v>25</v>
      </c>
      <c r="E329" t="s">
        <v>36</v>
      </c>
      <c r="F329" t="s">
        <v>37</v>
      </c>
      <c r="G329" t="s">
        <v>22</v>
      </c>
      <c r="H329">
        <v>3</v>
      </c>
      <c r="I329">
        <v>93</v>
      </c>
      <c r="J329">
        <v>121</v>
      </c>
      <c r="K329">
        <v>262</v>
      </c>
      <c r="L329">
        <v>476</v>
      </c>
      <c r="M329">
        <v>2023</v>
      </c>
    </row>
    <row r="330" spans="1:13" x14ac:dyDescent="0.25">
      <c r="A330" t="s">
        <v>367</v>
      </c>
      <c r="B330" t="s">
        <v>13</v>
      </c>
      <c r="C330" s="1">
        <v>38182</v>
      </c>
      <c r="D330" s="8">
        <f ca="1">ROUND(YEARFRAC(NEET[[#This Row],[Date_of_Birth]],TODAY()),0)</f>
        <v>22</v>
      </c>
      <c r="E330" t="s">
        <v>31</v>
      </c>
      <c r="F330" t="s">
        <v>32</v>
      </c>
      <c r="G330" t="s">
        <v>25</v>
      </c>
      <c r="H330">
        <v>4</v>
      </c>
      <c r="I330">
        <v>145</v>
      </c>
      <c r="J330">
        <v>172</v>
      </c>
      <c r="K330">
        <v>341</v>
      </c>
      <c r="L330">
        <v>658</v>
      </c>
      <c r="M330">
        <v>2024</v>
      </c>
    </row>
    <row r="331" spans="1:13" x14ac:dyDescent="0.25">
      <c r="A331" t="s">
        <v>368</v>
      </c>
      <c r="B331" t="s">
        <v>20</v>
      </c>
      <c r="C331" s="1">
        <v>37023</v>
      </c>
      <c r="D331" s="8">
        <f ca="1">ROUND(YEARFRAC(NEET[[#This Row],[Date_of_Birth]],TODAY()),0)</f>
        <v>25</v>
      </c>
      <c r="E331" t="s">
        <v>53</v>
      </c>
      <c r="F331" t="s">
        <v>15</v>
      </c>
      <c r="G331" t="s">
        <v>25</v>
      </c>
      <c r="H331">
        <v>3</v>
      </c>
      <c r="I331">
        <v>45</v>
      </c>
      <c r="J331">
        <v>86</v>
      </c>
      <c r="K331">
        <v>126</v>
      </c>
      <c r="L331">
        <v>257</v>
      </c>
      <c r="M331">
        <v>2025</v>
      </c>
    </row>
    <row r="332" spans="1:13" x14ac:dyDescent="0.25">
      <c r="A332" t="s">
        <v>369</v>
      </c>
      <c r="B332" t="s">
        <v>13</v>
      </c>
      <c r="C332" s="1">
        <v>36833</v>
      </c>
      <c r="D332" s="8">
        <f ca="1">ROUND(YEARFRAC(NEET[[#This Row],[Date_of_Birth]],TODAY()),0)</f>
        <v>26</v>
      </c>
      <c r="E332" t="s">
        <v>53</v>
      </c>
      <c r="F332" t="s">
        <v>15</v>
      </c>
      <c r="G332" t="s">
        <v>25</v>
      </c>
      <c r="H332">
        <v>3</v>
      </c>
      <c r="I332">
        <v>46</v>
      </c>
      <c r="J332">
        <v>80</v>
      </c>
      <c r="K332">
        <v>287</v>
      </c>
      <c r="L332">
        <v>413</v>
      </c>
      <c r="M332">
        <v>2023</v>
      </c>
    </row>
    <row r="333" spans="1:13" x14ac:dyDescent="0.25">
      <c r="A333" t="s">
        <v>370</v>
      </c>
      <c r="B333" t="s">
        <v>20</v>
      </c>
      <c r="C333" s="1">
        <v>38414</v>
      </c>
      <c r="D333" s="8">
        <f ca="1">ROUND(YEARFRAC(NEET[[#This Row],[Date_of_Birth]],TODAY()),0)</f>
        <v>21</v>
      </c>
      <c r="E333" t="s">
        <v>53</v>
      </c>
      <c r="F333" t="s">
        <v>15</v>
      </c>
      <c r="G333" t="s">
        <v>34</v>
      </c>
      <c r="H333">
        <v>1</v>
      </c>
      <c r="I333">
        <v>73</v>
      </c>
      <c r="J333">
        <v>176</v>
      </c>
      <c r="K333">
        <v>281</v>
      </c>
      <c r="L333">
        <v>530</v>
      </c>
      <c r="M333">
        <v>2026</v>
      </c>
    </row>
    <row r="334" spans="1:13" x14ac:dyDescent="0.25">
      <c r="A334" t="s">
        <v>371</v>
      </c>
      <c r="B334" t="s">
        <v>20</v>
      </c>
      <c r="C334" s="1">
        <v>37233</v>
      </c>
      <c r="D334" s="8">
        <f ca="1">ROUND(YEARFRAC(NEET[[#This Row],[Date_of_Birth]],TODAY()),0)</f>
        <v>24</v>
      </c>
      <c r="E334" t="s">
        <v>46</v>
      </c>
      <c r="F334" t="s">
        <v>15</v>
      </c>
      <c r="G334" t="s">
        <v>25</v>
      </c>
      <c r="H334">
        <v>2</v>
      </c>
      <c r="I334">
        <v>84</v>
      </c>
      <c r="J334">
        <v>77</v>
      </c>
      <c r="K334">
        <v>200</v>
      </c>
      <c r="L334">
        <v>361</v>
      </c>
      <c r="M334">
        <v>2024</v>
      </c>
    </row>
    <row r="335" spans="1:13" x14ac:dyDescent="0.25">
      <c r="A335" t="s">
        <v>372</v>
      </c>
      <c r="B335" t="s">
        <v>13</v>
      </c>
      <c r="C335" s="1">
        <v>39177</v>
      </c>
      <c r="D335" s="8">
        <f ca="1">ROUND(YEARFRAC(NEET[[#This Row],[Date_of_Birth]],TODAY()),0)</f>
        <v>19</v>
      </c>
      <c r="E335" t="s">
        <v>24</v>
      </c>
      <c r="F335" t="s">
        <v>15</v>
      </c>
      <c r="G335" t="s">
        <v>29</v>
      </c>
      <c r="H335">
        <v>1</v>
      </c>
      <c r="I335">
        <v>157</v>
      </c>
      <c r="J335">
        <v>135</v>
      </c>
      <c r="K335">
        <v>341</v>
      </c>
      <c r="L335">
        <v>633</v>
      </c>
      <c r="M335">
        <v>2026</v>
      </c>
    </row>
    <row r="336" spans="1:13" x14ac:dyDescent="0.25">
      <c r="A336" t="s">
        <v>373</v>
      </c>
      <c r="B336" t="s">
        <v>20</v>
      </c>
      <c r="C336" s="1">
        <v>37088</v>
      </c>
      <c r="D336" s="8">
        <f ca="1">ROUND(YEARFRAC(NEET[[#This Row],[Date_of_Birth]],TODAY()),0)</f>
        <v>25</v>
      </c>
      <c r="E336" t="s">
        <v>18</v>
      </c>
      <c r="F336" t="s">
        <v>15</v>
      </c>
      <c r="G336" t="s">
        <v>34</v>
      </c>
      <c r="H336">
        <v>3</v>
      </c>
      <c r="I336">
        <v>81</v>
      </c>
      <c r="J336">
        <v>164</v>
      </c>
      <c r="K336">
        <v>187</v>
      </c>
      <c r="L336">
        <v>432</v>
      </c>
      <c r="M336">
        <v>2026</v>
      </c>
    </row>
    <row r="337" spans="1:13" x14ac:dyDescent="0.25">
      <c r="A337" t="s">
        <v>374</v>
      </c>
      <c r="B337" t="s">
        <v>20</v>
      </c>
      <c r="C337" s="1">
        <v>37935</v>
      </c>
      <c r="D337" s="8">
        <f ca="1">ROUND(YEARFRAC(NEET[[#This Row],[Date_of_Birth]],TODAY()),0)</f>
        <v>23</v>
      </c>
      <c r="E337" t="s">
        <v>48</v>
      </c>
      <c r="F337" t="s">
        <v>49</v>
      </c>
      <c r="G337" t="s">
        <v>25</v>
      </c>
      <c r="H337">
        <v>2</v>
      </c>
      <c r="I337">
        <v>174</v>
      </c>
      <c r="J337">
        <v>158</v>
      </c>
      <c r="K337">
        <v>224</v>
      </c>
      <c r="L337">
        <v>556</v>
      </c>
      <c r="M337">
        <v>2025</v>
      </c>
    </row>
    <row r="338" spans="1:13" x14ac:dyDescent="0.25">
      <c r="A338" t="s">
        <v>375</v>
      </c>
      <c r="B338" t="s">
        <v>20</v>
      </c>
      <c r="C338" s="1">
        <v>38971</v>
      </c>
      <c r="D338" s="8">
        <f ca="1">ROUND(YEARFRAC(NEET[[#This Row],[Date_of_Birth]],TODAY()),0)</f>
        <v>20</v>
      </c>
      <c r="E338" t="s">
        <v>62</v>
      </c>
      <c r="F338" t="s">
        <v>15</v>
      </c>
      <c r="G338" t="s">
        <v>22</v>
      </c>
      <c r="H338">
        <v>2</v>
      </c>
      <c r="I338">
        <v>37</v>
      </c>
      <c r="J338">
        <v>101</v>
      </c>
      <c r="K338">
        <v>89</v>
      </c>
      <c r="L338">
        <v>227</v>
      </c>
      <c r="M338">
        <v>2023</v>
      </c>
    </row>
    <row r="339" spans="1:13" x14ac:dyDescent="0.25">
      <c r="A339" t="s">
        <v>376</v>
      </c>
      <c r="B339" t="s">
        <v>13</v>
      </c>
      <c r="C339" s="1">
        <v>37541</v>
      </c>
      <c r="D339" s="8">
        <f ca="1">ROUND(YEARFRAC(NEET[[#This Row],[Date_of_Birth]],TODAY()),0)</f>
        <v>24</v>
      </c>
      <c r="E339" t="s">
        <v>21</v>
      </c>
      <c r="F339" t="s">
        <v>21</v>
      </c>
      <c r="G339" t="s">
        <v>29</v>
      </c>
      <c r="H339">
        <v>4</v>
      </c>
      <c r="I339">
        <v>91</v>
      </c>
      <c r="J339">
        <v>98</v>
      </c>
      <c r="K339">
        <v>333</v>
      </c>
      <c r="L339">
        <v>522</v>
      </c>
      <c r="M339">
        <v>2024</v>
      </c>
    </row>
    <row r="340" spans="1:13" x14ac:dyDescent="0.25">
      <c r="A340" t="s">
        <v>377</v>
      </c>
      <c r="B340" t="s">
        <v>13</v>
      </c>
      <c r="C340" s="1">
        <v>37247</v>
      </c>
      <c r="D340" s="8">
        <f ca="1">ROUND(YEARFRAC(NEET[[#This Row],[Date_of_Birth]],TODAY()),0)</f>
        <v>24</v>
      </c>
      <c r="E340" t="s">
        <v>62</v>
      </c>
      <c r="F340" t="s">
        <v>15</v>
      </c>
      <c r="G340" t="s">
        <v>34</v>
      </c>
      <c r="H340">
        <v>2</v>
      </c>
      <c r="I340">
        <v>111</v>
      </c>
      <c r="J340">
        <v>121</v>
      </c>
      <c r="K340">
        <v>74</v>
      </c>
      <c r="L340">
        <v>306</v>
      </c>
      <c r="M340">
        <v>2025</v>
      </c>
    </row>
    <row r="341" spans="1:13" x14ac:dyDescent="0.25">
      <c r="A341" t="s">
        <v>378</v>
      </c>
      <c r="B341" t="s">
        <v>13</v>
      </c>
      <c r="C341" s="1">
        <v>37245</v>
      </c>
      <c r="D341" s="8">
        <f ca="1">ROUND(YEARFRAC(NEET[[#This Row],[Date_of_Birth]],TODAY()),0)</f>
        <v>24</v>
      </c>
      <c r="E341" t="s">
        <v>73</v>
      </c>
      <c r="F341" t="s">
        <v>15</v>
      </c>
      <c r="G341" t="s">
        <v>16</v>
      </c>
      <c r="H341">
        <v>1</v>
      </c>
      <c r="I341">
        <v>39</v>
      </c>
      <c r="J341">
        <v>53</v>
      </c>
      <c r="K341">
        <v>88</v>
      </c>
      <c r="L341">
        <v>180</v>
      </c>
      <c r="M341">
        <v>2026</v>
      </c>
    </row>
    <row r="342" spans="1:13" x14ac:dyDescent="0.25">
      <c r="A342" t="s">
        <v>379</v>
      </c>
      <c r="B342" t="s">
        <v>20</v>
      </c>
      <c r="C342" s="1">
        <v>36528</v>
      </c>
      <c r="D342" s="8">
        <f ca="1">ROUND(YEARFRAC(NEET[[#This Row],[Date_of_Birth]],TODAY()),0)</f>
        <v>26</v>
      </c>
      <c r="E342" t="s">
        <v>46</v>
      </c>
      <c r="F342" t="s">
        <v>15</v>
      </c>
      <c r="G342" t="s">
        <v>25</v>
      </c>
      <c r="H342">
        <v>1</v>
      </c>
      <c r="I342">
        <v>81</v>
      </c>
      <c r="J342">
        <v>63</v>
      </c>
      <c r="K342">
        <v>234</v>
      </c>
      <c r="L342">
        <v>378</v>
      </c>
      <c r="M342">
        <v>2024</v>
      </c>
    </row>
    <row r="343" spans="1:13" x14ac:dyDescent="0.25">
      <c r="A343" t="s">
        <v>380</v>
      </c>
      <c r="B343" t="s">
        <v>13</v>
      </c>
      <c r="C343" s="1">
        <v>38928</v>
      </c>
      <c r="D343" s="8">
        <f ca="1">ROUND(YEARFRAC(NEET[[#This Row],[Date_of_Birth]],TODAY()),0)</f>
        <v>20</v>
      </c>
      <c r="E343" t="s">
        <v>36</v>
      </c>
      <c r="F343" t="s">
        <v>37</v>
      </c>
      <c r="G343" t="s">
        <v>34</v>
      </c>
      <c r="H343">
        <v>3</v>
      </c>
      <c r="I343">
        <v>66</v>
      </c>
      <c r="J343">
        <v>58</v>
      </c>
      <c r="K343">
        <v>329</v>
      </c>
      <c r="L343">
        <v>453</v>
      </c>
      <c r="M343">
        <v>2023</v>
      </c>
    </row>
    <row r="344" spans="1:13" x14ac:dyDescent="0.25">
      <c r="A344" t="s">
        <v>381</v>
      </c>
      <c r="B344" t="s">
        <v>20</v>
      </c>
      <c r="C344" s="1">
        <v>37904</v>
      </c>
      <c r="D344" s="8">
        <f ca="1">ROUND(YEARFRAC(NEET[[#This Row],[Date_of_Birth]],TODAY()),0)</f>
        <v>23</v>
      </c>
      <c r="E344" t="s">
        <v>24</v>
      </c>
      <c r="F344" t="s">
        <v>15</v>
      </c>
      <c r="G344" t="s">
        <v>22</v>
      </c>
      <c r="H344">
        <v>3</v>
      </c>
      <c r="I344">
        <v>112</v>
      </c>
      <c r="J344">
        <v>64</v>
      </c>
      <c r="K344">
        <v>140</v>
      </c>
      <c r="L344">
        <v>316</v>
      </c>
      <c r="M344">
        <v>2025</v>
      </c>
    </row>
    <row r="345" spans="1:13" x14ac:dyDescent="0.25">
      <c r="A345" t="s">
        <v>382</v>
      </c>
      <c r="B345" t="s">
        <v>20</v>
      </c>
      <c r="C345" s="1">
        <v>37440</v>
      </c>
      <c r="D345" s="8">
        <f ca="1">ROUND(YEARFRAC(NEET[[#This Row],[Date_of_Birth]],TODAY()),0)</f>
        <v>24</v>
      </c>
      <c r="E345" t="s">
        <v>21</v>
      </c>
      <c r="F345" t="s">
        <v>21</v>
      </c>
      <c r="G345" t="s">
        <v>22</v>
      </c>
      <c r="H345">
        <v>2</v>
      </c>
      <c r="I345">
        <v>180</v>
      </c>
      <c r="J345">
        <v>74</v>
      </c>
      <c r="K345">
        <v>253</v>
      </c>
      <c r="L345">
        <v>507</v>
      </c>
      <c r="M345">
        <v>2023</v>
      </c>
    </row>
    <row r="346" spans="1:13" x14ac:dyDescent="0.25">
      <c r="A346" t="s">
        <v>383</v>
      </c>
      <c r="B346" t="s">
        <v>20</v>
      </c>
      <c r="C346" s="1">
        <v>39401</v>
      </c>
      <c r="D346" s="8">
        <f ca="1">ROUND(YEARFRAC(NEET[[#This Row],[Date_of_Birth]],TODAY()),0)</f>
        <v>19</v>
      </c>
      <c r="E346" t="s">
        <v>27</v>
      </c>
      <c r="F346" t="s">
        <v>15</v>
      </c>
      <c r="G346" t="s">
        <v>16</v>
      </c>
      <c r="H346">
        <v>2</v>
      </c>
      <c r="I346">
        <v>130</v>
      </c>
      <c r="J346">
        <v>175</v>
      </c>
      <c r="K346">
        <v>76</v>
      </c>
      <c r="L346">
        <v>381</v>
      </c>
      <c r="M346">
        <v>2023</v>
      </c>
    </row>
    <row r="347" spans="1:13" x14ac:dyDescent="0.25">
      <c r="A347" t="s">
        <v>384</v>
      </c>
      <c r="B347" t="s">
        <v>20</v>
      </c>
      <c r="C347" s="1">
        <v>38558</v>
      </c>
      <c r="D347" s="8">
        <f ca="1">ROUND(YEARFRAC(NEET[[#This Row],[Date_of_Birth]],TODAY()),0)</f>
        <v>21</v>
      </c>
      <c r="E347" t="s">
        <v>40</v>
      </c>
      <c r="F347" t="s">
        <v>15</v>
      </c>
      <c r="G347" t="s">
        <v>25</v>
      </c>
      <c r="H347">
        <v>2</v>
      </c>
      <c r="I347">
        <v>114</v>
      </c>
      <c r="J347">
        <v>49</v>
      </c>
      <c r="K347">
        <v>181</v>
      </c>
      <c r="L347">
        <v>344</v>
      </c>
      <c r="M347">
        <v>2025</v>
      </c>
    </row>
    <row r="348" spans="1:13" x14ac:dyDescent="0.25">
      <c r="A348" t="s">
        <v>385</v>
      </c>
      <c r="B348" t="s">
        <v>20</v>
      </c>
      <c r="C348" s="1">
        <v>38355</v>
      </c>
      <c r="D348" s="8">
        <f ca="1">ROUND(YEARFRAC(NEET[[#This Row],[Date_of_Birth]],TODAY()),0)</f>
        <v>21</v>
      </c>
      <c r="E348" t="s">
        <v>53</v>
      </c>
      <c r="F348" t="s">
        <v>15</v>
      </c>
      <c r="G348" t="s">
        <v>25</v>
      </c>
      <c r="H348">
        <v>3</v>
      </c>
      <c r="I348">
        <v>97</v>
      </c>
      <c r="J348">
        <v>83</v>
      </c>
      <c r="K348">
        <v>187</v>
      </c>
      <c r="L348">
        <v>367</v>
      </c>
      <c r="M348">
        <v>2023</v>
      </c>
    </row>
    <row r="349" spans="1:13" x14ac:dyDescent="0.25">
      <c r="A349" t="s">
        <v>386</v>
      </c>
      <c r="B349" t="s">
        <v>20</v>
      </c>
      <c r="C349" s="1">
        <v>36723</v>
      </c>
      <c r="D349" s="8">
        <f ca="1">ROUND(YEARFRAC(NEET[[#This Row],[Date_of_Birth]],TODAY()),0)</f>
        <v>26</v>
      </c>
      <c r="E349" t="s">
        <v>18</v>
      </c>
      <c r="F349" t="s">
        <v>15</v>
      </c>
      <c r="G349" t="s">
        <v>29</v>
      </c>
      <c r="H349">
        <v>4</v>
      </c>
      <c r="I349">
        <v>142</v>
      </c>
      <c r="J349">
        <v>137</v>
      </c>
      <c r="K349">
        <v>145</v>
      </c>
      <c r="L349">
        <v>424</v>
      </c>
      <c r="M349">
        <v>2026</v>
      </c>
    </row>
    <row r="350" spans="1:13" x14ac:dyDescent="0.25">
      <c r="A350" t="s">
        <v>387</v>
      </c>
      <c r="B350" t="s">
        <v>20</v>
      </c>
      <c r="C350" s="1">
        <v>36941</v>
      </c>
      <c r="D350" s="8">
        <f ca="1">ROUND(YEARFRAC(NEET[[#This Row],[Date_of_Birth]],TODAY()),0)</f>
        <v>25</v>
      </c>
      <c r="E350" t="s">
        <v>31</v>
      </c>
      <c r="F350" t="s">
        <v>32</v>
      </c>
      <c r="G350" t="s">
        <v>25</v>
      </c>
      <c r="H350">
        <v>1</v>
      </c>
      <c r="I350">
        <v>152</v>
      </c>
      <c r="J350">
        <v>177</v>
      </c>
      <c r="K350">
        <v>175</v>
      </c>
      <c r="L350">
        <v>504</v>
      </c>
      <c r="M350">
        <v>2025</v>
      </c>
    </row>
    <row r="351" spans="1:13" x14ac:dyDescent="0.25">
      <c r="A351" t="s">
        <v>388</v>
      </c>
      <c r="B351" t="s">
        <v>13</v>
      </c>
      <c r="C351" s="1">
        <v>36608</v>
      </c>
      <c r="D351" s="8">
        <f ca="1">ROUND(YEARFRAC(NEET[[#This Row],[Date_of_Birth]],TODAY()),0)</f>
        <v>26</v>
      </c>
      <c r="E351" t="s">
        <v>46</v>
      </c>
      <c r="F351" t="s">
        <v>15</v>
      </c>
      <c r="G351" t="s">
        <v>22</v>
      </c>
      <c r="H351">
        <v>4</v>
      </c>
      <c r="I351">
        <v>96</v>
      </c>
      <c r="J351">
        <v>56</v>
      </c>
      <c r="K351">
        <v>97</v>
      </c>
      <c r="L351">
        <v>249</v>
      </c>
      <c r="M351">
        <v>2023</v>
      </c>
    </row>
    <row r="352" spans="1:13" x14ac:dyDescent="0.25">
      <c r="A352" t="s">
        <v>389</v>
      </c>
      <c r="B352" t="s">
        <v>20</v>
      </c>
      <c r="C352" s="1">
        <v>38766</v>
      </c>
      <c r="D352" s="8">
        <f ca="1">ROUND(YEARFRAC(NEET[[#This Row],[Date_of_Birth]],TODAY()),0)</f>
        <v>20</v>
      </c>
      <c r="E352" t="s">
        <v>48</v>
      </c>
      <c r="F352" t="s">
        <v>49</v>
      </c>
      <c r="G352" t="s">
        <v>16</v>
      </c>
      <c r="H352">
        <v>2</v>
      </c>
      <c r="I352">
        <v>53</v>
      </c>
      <c r="J352">
        <v>116</v>
      </c>
      <c r="K352">
        <v>307</v>
      </c>
      <c r="L352">
        <v>476</v>
      </c>
      <c r="M352">
        <v>2026</v>
      </c>
    </row>
    <row r="353" spans="1:13" x14ac:dyDescent="0.25">
      <c r="A353" t="s">
        <v>390</v>
      </c>
      <c r="B353" t="s">
        <v>20</v>
      </c>
      <c r="C353" s="1">
        <v>37169</v>
      </c>
      <c r="D353" s="8">
        <f ca="1">ROUND(YEARFRAC(NEET[[#This Row],[Date_of_Birth]],TODAY()),0)</f>
        <v>25</v>
      </c>
      <c r="E353" t="s">
        <v>53</v>
      </c>
      <c r="F353" t="s">
        <v>15</v>
      </c>
      <c r="G353" t="s">
        <v>29</v>
      </c>
      <c r="H353">
        <v>3</v>
      </c>
      <c r="I353">
        <v>55</v>
      </c>
      <c r="J353">
        <v>114</v>
      </c>
      <c r="K353">
        <v>165</v>
      </c>
      <c r="L353">
        <v>334</v>
      </c>
      <c r="M353">
        <v>2025</v>
      </c>
    </row>
    <row r="354" spans="1:13" x14ac:dyDescent="0.25">
      <c r="A354" t="s">
        <v>391</v>
      </c>
      <c r="B354" t="s">
        <v>13</v>
      </c>
      <c r="C354" s="1">
        <v>37498</v>
      </c>
      <c r="D354" s="8">
        <f ca="1">ROUND(YEARFRAC(NEET[[#This Row],[Date_of_Birth]],TODAY()),0)</f>
        <v>24</v>
      </c>
      <c r="E354" t="s">
        <v>14</v>
      </c>
      <c r="F354" t="s">
        <v>15</v>
      </c>
      <c r="G354" t="s">
        <v>29</v>
      </c>
      <c r="H354">
        <v>1</v>
      </c>
      <c r="I354">
        <v>42</v>
      </c>
      <c r="J354">
        <v>130</v>
      </c>
      <c r="K354">
        <v>352</v>
      </c>
      <c r="L354">
        <v>524</v>
      </c>
      <c r="M354">
        <v>2023</v>
      </c>
    </row>
    <row r="355" spans="1:13" x14ac:dyDescent="0.25">
      <c r="A355" t="s">
        <v>392</v>
      </c>
      <c r="B355" t="s">
        <v>13</v>
      </c>
      <c r="C355" s="1">
        <v>38277</v>
      </c>
      <c r="D355" s="8">
        <f ca="1">ROUND(YEARFRAC(NEET[[#This Row],[Date_of_Birth]],TODAY()),0)</f>
        <v>22</v>
      </c>
      <c r="E355" t="s">
        <v>14</v>
      </c>
      <c r="F355" t="s">
        <v>15</v>
      </c>
      <c r="G355" t="s">
        <v>22</v>
      </c>
      <c r="H355">
        <v>2</v>
      </c>
      <c r="I355">
        <v>105</v>
      </c>
      <c r="J355">
        <v>152</v>
      </c>
      <c r="K355">
        <v>162</v>
      </c>
      <c r="L355">
        <v>419</v>
      </c>
      <c r="M355">
        <v>2025</v>
      </c>
    </row>
    <row r="356" spans="1:13" x14ac:dyDescent="0.25">
      <c r="A356" t="s">
        <v>393</v>
      </c>
      <c r="B356" t="s">
        <v>20</v>
      </c>
      <c r="C356" s="1">
        <v>36861</v>
      </c>
      <c r="D356" s="8">
        <f ca="1">ROUND(YEARFRAC(NEET[[#This Row],[Date_of_Birth]],TODAY()),0)</f>
        <v>25</v>
      </c>
      <c r="E356" t="s">
        <v>73</v>
      </c>
      <c r="F356" t="s">
        <v>15</v>
      </c>
      <c r="G356" t="s">
        <v>25</v>
      </c>
      <c r="H356">
        <v>3</v>
      </c>
      <c r="I356">
        <v>59</v>
      </c>
      <c r="J356">
        <v>108</v>
      </c>
      <c r="K356">
        <v>263</v>
      </c>
      <c r="L356">
        <v>430</v>
      </c>
      <c r="M356">
        <v>2026</v>
      </c>
    </row>
    <row r="357" spans="1:13" x14ac:dyDescent="0.25">
      <c r="A357" t="s">
        <v>394</v>
      </c>
      <c r="B357" t="s">
        <v>13</v>
      </c>
      <c r="C357" s="1">
        <v>37283</v>
      </c>
      <c r="D357" s="8">
        <f ca="1">ROUND(YEARFRAC(NEET[[#This Row],[Date_of_Birth]],TODAY()),0)</f>
        <v>24</v>
      </c>
      <c r="E357" t="s">
        <v>46</v>
      </c>
      <c r="F357" t="s">
        <v>15</v>
      </c>
      <c r="G357" t="s">
        <v>34</v>
      </c>
      <c r="H357">
        <v>3</v>
      </c>
      <c r="I357">
        <v>127</v>
      </c>
      <c r="J357">
        <v>124</v>
      </c>
      <c r="K357">
        <v>155</v>
      </c>
      <c r="L357">
        <v>406</v>
      </c>
      <c r="M357">
        <v>2026</v>
      </c>
    </row>
    <row r="358" spans="1:13" x14ac:dyDescent="0.25">
      <c r="A358" t="s">
        <v>395</v>
      </c>
      <c r="B358" t="s">
        <v>13</v>
      </c>
      <c r="C358" s="1">
        <v>37604</v>
      </c>
      <c r="D358" s="8">
        <f ca="1">ROUND(YEARFRAC(NEET[[#This Row],[Date_of_Birth]],TODAY()),0)</f>
        <v>23</v>
      </c>
      <c r="E358" t="s">
        <v>62</v>
      </c>
      <c r="F358" t="s">
        <v>15</v>
      </c>
      <c r="G358" t="s">
        <v>29</v>
      </c>
      <c r="H358">
        <v>1</v>
      </c>
      <c r="I358">
        <v>98</v>
      </c>
      <c r="J358">
        <v>174</v>
      </c>
      <c r="K358">
        <v>91</v>
      </c>
      <c r="L358">
        <v>363</v>
      </c>
      <c r="M358">
        <v>2026</v>
      </c>
    </row>
    <row r="359" spans="1:13" x14ac:dyDescent="0.25">
      <c r="A359" t="s">
        <v>396</v>
      </c>
      <c r="B359" t="s">
        <v>20</v>
      </c>
      <c r="C359" s="1">
        <v>39624</v>
      </c>
      <c r="D359" s="8">
        <f ca="1">ROUND(YEARFRAC(NEET[[#This Row],[Date_of_Birth]],TODAY()),0)</f>
        <v>18</v>
      </c>
      <c r="E359" t="s">
        <v>27</v>
      </c>
      <c r="F359" t="s">
        <v>15</v>
      </c>
      <c r="G359" t="s">
        <v>16</v>
      </c>
      <c r="H359">
        <v>4</v>
      </c>
      <c r="I359">
        <v>88</v>
      </c>
      <c r="J359">
        <v>171</v>
      </c>
      <c r="K359">
        <v>91</v>
      </c>
      <c r="L359">
        <v>350</v>
      </c>
      <c r="M359">
        <v>2024</v>
      </c>
    </row>
    <row r="360" spans="1:13" x14ac:dyDescent="0.25">
      <c r="A360" t="s">
        <v>397</v>
      </c>
      <c r="B360" t="s">
        <v>13</v>
      </c>
      <c r="C360" s="1">
        <v>38476</v>
      </c>
      <c r="D360" s="8">
        <f ca="1">ROUND(YEARFRAC(NEET[[#This Row],[Date_of_Birth]],TODAY()),0)</f>
        <v>21</v>
      </c>
      <c r="E360" t="s">
        <v>24</v>
      </c>
      <c r="F360" t="s">
        <v>15</v>
      </c>
      <c r="G360" t="s">
        <v>22</v>
      </c>
      <c r="H360">
        <v>4</v>
      </c>
      <c r="I360">
        <v>50</v>
      </c>
      <c r="J360">
        <v>131</v>
      </c>
      <c r="K360">
        <v>77</v>
      </c>
      <c r="L360">
        <v>258</v>
      </c>
      <c r="M360">
        <v>2024</v>
      </c>
    </row>
    <row r="361" spans="1:13" x14ac:dyDescent="0.25">
      <c r="A361" t="s">
        <v>398</v>
      </c>
      <c r="B361" t="s">
        <v>13</v>
      </c>
      <c r="C361" s="1">
        <v>37393</v>
      </c>
      <c r="D361" s="8">
        <f ca="1">ROUND(YEARFRAC(NEET[[#This Row],[Date_of_Birth]],TODAY()),0)</f>
        <v>24</v>
      </c>
      <c r="E361" t="s">
        <v>69</v>
      </c>
      <c r="F361" t="s">
        <v>70</v>
      </c>
      <c r="G361" t="s">
        <v>22</v>
      </c>
      <c r="H361">
        <v>4</v>
      </c>
      <c r="I361">
        <v>79</v>
      </c>
      <c r="J361">
        <v>62</v>
      </c>
      <c r="K361">
        <v>81</v>
      </c>
      <c r="L361">
        <v>222</v>
      </c>
      <c r="M361">
        <v>2024</v>
      </c>
    </row>
    <row r="362" spans="1:13" x14ac:dyDescent="0.25">
      <c r="A362" t="s">
        <v>399</v>
      </c>
      <c r="B362" t="s">
        <v>20</v>
      </c>
      <c r="C362" s="1">
        <v>38963</v>
      </c>
      <c r="D362" s="8">
        <f ca="1">ROUND(YEARFRAC(NEET[[#This Row],[Date_of_Birth]],TODAY()),0)</f>
        <v>20</v>
      </c>
      <c r="E362" t="s">
        <v>24</v>
      </c>
      <c r="F362" t="s">
        <v>15</v>
      </c>
      <c r="G362" t="s">
        <v>29</v>
      </c>
      <c r="H362">
        <v>3</v>
      </c>
      <c r="I362">
        <v>111</v>
      </c>
      <c r="J362">
        <v>47</v>
      </c>
      <c r="K362">
        <v>104</v>
      </c>
      <c r="L362">
        <v>262</v>
      </c>
      <c r="M362">
        <v>2026</v>
      </c>
    </row>
    <row r="363" spans="1:13" x14ac:dyDescent="0.25">
      <c r="A363" t="s">
        <v>400</v>
      </c>
      <c r="B363" t="s">
        <v>20</v>
      </c>
      <c r="C363" s="1">
        <v>36576</v>
      </c>
      <c r="D363" s="8">
        <f ca="1">ROUND(YEARFRAC(NEET[[#This Row],[Date_of_Birth]],TODAY()),0)</f>
        <v>26</v>
      </c>
      <c r="E363" t="s">
        <v>69</v>
      </c>
      <c r="F363" t="s">
        <v>70</v>
      </c>
      <c r="G363" t="s">
        <v>22</v>
      </c>
      <c r="H363">
        <v>2</v>
      </c>
      <c r="I363">
        <v>180</v>
      </c>
      <c r="J363">
        <v>163</v>
      </c>
      <c r="K363">
        <v>274</v>
      </c>
      <c r="L363">
        <v>617</v>
      </c>
      <c r="M363">
        <v>2023</v>
      </c>
    </row>
    <row r="364" spans="1:13" x14ac:dyDescent="0.25">
      <c r="A364" t="s">
        <v>401</v>
      </c>
      <c r="B364" t="s">
        <v>20</v>
      </c>
      <c r="C364" s="1">
        <v>36958</v>
      </c>
      <c r="D364" s="8">
        <f ca="1">ROUND(YEARFRAC(NEET[[#This Row],[Date_of_Birth]],TODAY()),0)</f>
        <v>25</v>
      </c>
      <c r="E364" t="s">
        <v>27</v>
      </c>
      <c r="F364" t="s">
        <v>15</v>
      </c>
      <c r="G364" t="s">
        <v>34</v>
      </c>
      <c r="H364">
        <v>3</v>
      </c>
      <c r="I364">
        <v>55</v>
      </c>
      <c r="J364">
        <v>103</v>
      </c>
      <c r="K364">
        <v>334</v>
      </c>
      <c r="L364">
        <v>492</v>
      </c>
      <c r="M364">
        <v>2026</v>
      </c>
    </row>
    <row r="365" spans="1:13" x14ac:dyDescent="0.25">
      <c r="A365" t="s">
        <v>402</v>
      </c>
      <c r="B365" t="s">
        <v>20</v>
      </c>
      <c r="C365" s="1">
        <v>38869</v>
      </c>
      <c r="D365" s="8">
        <f ca="1">ROUND(YEARFRAC(NEET[[#This Row],[Date_of_Birth]],TODAY()),0)</f>
        <v>20</v>
      </c>
      <c r="E365" t="s">
        <v>27</v>
      </c>
      <c r="F365" t="s">
        <v>15</v>
      </c>
      <c r="G365" t="s">
        <v>16</v>
      </c>
      <c r="H365">
        <v>2</v>
      </c>
      <c r="I365">
        <v>151</v>
      </c>
      <c r="J365">
        <v>39</v>
      </c>
      <c r="K365">
        <v>148</v>
      </c>
      <c r="L365">
        <v>338</v>
      </c>
      <c r="M365">
        <v>2026</v>
      </c>
    </row>
    <row r="366" spans="1:13" x14ac:dyDescent="0.25">
      <c r="A366" t="s">
        <v>403</v>
      </c>
      <c r="B366" t="s">
        <v>20</v>
      </c>
      <c r="C366" s="1">
        <v>36684</v>
      </c>
      <c r="D366" s="8">
        <f ca="1">ROUND(YEARFRAC(NEET[[#This Row],[Date_of_Birth]],TODAY()),0)</f>
        <v>26</v>
      </c>
      <c r="E366" t="s">
        <v>18</v>
      </c>
      <c r="F366" t="s">
        <v>15</v>
      </c>
      <c r="G366" t="s">
        <v>25</v>
      </c>
      <c r="H366">
        <v>3</v>
      </c>
      <c r="I366">
        <v>114</v>
      </c>
      <c r="J366">
        <v>90</v>
      </c>
      <c r="K366">
        <v>85</v>
      </c>
      <c r="L366">
        <v>289</v>
      </c>
      <c r="M366">
        <v>2025</v>
      </c>
    </row>
    <row r="367" spans="1:13" x14ac:dyDescent="0.25">
      <c r="A367" t="s">
        <v>404</v>
      </c>
      <c r="B367" t="s">
        <v>13</v>
      </c>
      <c r="C367" s="1">
        <v>39776</v>
      </c>
      <c r="D367" s="8">
        <f ca="1">ROUND(YEARFRAC(NEET[[#This Row],[Date_of_Birth]],TODAY()),0)</f>
        <v>17</v>
      </c>
      <c r="E367" t="s">
        <v>24</v>
      </c>
      <c r="F367" t="s">
        <v>15</v>
      </c>
      <c r="G367" t="s">
        <v>29</v>
      </c>
      <c r="H367">
        <v>2</v>
      </c>
      <c r="I367">
        <v>109</v>
      </c>
      <c r="J367">
        <v>101</v>
      </c>
      <c r="K367">
        <v>311</v>
      </c>
      <c r="L367">
        <v>521</v>
      </c>
      <c r="M367">
        <v>2026</v>
      </c>
    </row>
    <row r="368" spans="1:13" x14ac:dyDescent="0.25">
      <c r="A368" t="s">
        <v>405</v>
      </c>
      <c r="B368" t="s">
        <v>13</v>
      </c>
      <c r="C368" s="1">
        <v>39696</v>
      </c>
      <c r="D368" s="8">
        <f ca="1">ROUND(YEARFRAC(NEET[[#This Row],[Date_of_Birth]],TODAY()),0)</f>
        <v>18</v>
      </c>
      <c r="E368" t="s">
        <v>31</v>
      </c>
      <c r="F368" t="s">
        <v>32</v>
      </c>
      <c r="G368" t="s">
        <v>22</v>
      </c>
      <c r="H368">
        <v>4</v>
      </c>
      <c r="I368">
        <v>112</v>
      </c>
      <c r="J368">
        <v>98</v>
      </c>
      <c r="K368">
        <v>273</v>
      </c>
      <c r="L368">
        <v>483</v>
      </c>
      <c r="M368">
        <v>2026</v>
      </c>
    </row>
    <row r="369" spans="1:13" x14ac:dyDescent="0.25">
      <c r="A369" t="s">
        <v>406</v>
      </c>
      <c r="B369" t="s">
        <v>13</v>
      </c>
      <c r="C369" s="1">
        <v>39560</v>
      </c>
      <c r="D369" s="8">
        <f ca="1">ROUND(YEARFRAC(NEET[[#This Row],[Date_of_Birth]],TODAY()),0)</f>
        <v>18</v>
      </c>
      <c r="E369" t="s">
        <v>73</v>
      </c>
      <c r="F369" t="s">
        <v>15</v>
      </c>
      <c r="G369" t="s">
        <v>16</v>
      </c>
      <c r="H369">
        <v>3</v>
      </c>
      <c r="I369">
        <v>162</v>
      </c>
      <c r="J369">
        <v>125</v>
      </c>
      <c r="K369">
        <v>88</v>
      </c>
      <c r="L369">
        <v>375</v>
      </c>
      <c r="M369">
        <v>2026</v>
      </c>
    </row>
    <row r="370" spans="1:13" x14ac:dyDescent="0.25">
      <c r="A370" t="s">
        <v>407</v>
      </c>
      <c r="B370" t="s">
        <v>13</v>
      </c>
      <c r="C370" s="1">
        <v>37081</v>
      </c>
      <c r="D370" s="8">
        <f ca="1">ROUND(YEARFRAC(NEET[[#This Row],[Date_of_Birth]],TODAY()),0)</f>
        <v>25</v>
      </c>
      <c r="E370" t="s">
        <v>69</v>
      </c>
      <c r="F370" t="s">
        <v>70</v>
      </c>
      <c r="G370" t="s">
        <v>25</v>
      </c>
      <c r="H370">
        <v>2</v>
      </c>
      <c r="I370">
        <v>164</v>
      </c>
      <c r="J370">
        <v>175</v>
      </c>
      <c r="K370">
        <v>74</v>
      </c>
      <c r="L370">
        <v>413</v>
      </c>
      <c r="M370">
        <v>2024</v>
      </c>
    </row>
    <row r="371" spans="1:13" x14ac:dyDescent="0.25">
      <c r="A371" t="s">
        <v>408</v>
      </c>
      <c r="B371" t="s">
        <v>20</v>
      </c>
      <c r="C371" s="1">
        <v>36661</v>
      </c>
      <c r="D371" s="8">
        <f ca="1">ROUND(YEARFRAC(NEET[[#This Row],[Date_of_Birth]],TODAY()),0)</f>
        <v>26</v>
      </c>
      <c r="E371" t="s">
        <v>73</v>
      </c>
      <c r="F371" t="s">
        <v>15</v>
      </c>
      <c r="G371" t="s">
        <v>16</v>
      </c>
      <c r="H371">
        <v>4</v>
      </c>
      <c r="I371">
        <v>42</v>
      </c>
      <c r="J371">
        <v>122</v>
      </c>
      <c r="K371">
        <v>161</v>
      </c>
      <c r="L371">
        <v>325</v>
      </c>
      <c r="M371">
        <v>2026</v>
      </c>
    </row>
    <row r="372" spans="1:13" x14ac:dyDescent="0.25">
      <c r="A372" t="s">
        <v>409</v>
      </c>
      <c r="B372" t="s">
        <v>20</v>
      </c>
      <c r="C372" s="1">
        <v>39128</v>
      </c>
      <c r="D372" s="8">
        <f ca="1">ROUND(YEARFRAC(NEET[[#This Row],[Date_of_Birth]],TODAY()),0)</f>
        <v>19</v>
      </c>
      <c r="E372" t="s">
        <v>48</v>
      </c>
      <c r="F372" t="s">
        <v>49</v>
      </c>
      <c r="G372" t="s">
        <v>22</v>
      </c>
      <c r="H372">
        <v>4</v>
      </c>
      <c r="I372">
        <v>61</v>
      </c>
      <c r="J372">
        <v>37</v>
      </c>
      <c r="K372">
        <v>183</v>
      </c>
      <c r="L372">
        <v>281</v>
      </c>
      <c r="M372">
        <v>2026</v>
      </c>
    </row>
    <row r="373" spans="1:13" x14ac:dyDescent="0.25">
      <c r="A373" t="s">
        <v>410</v>
      </c>
      <c r="B373" t="s">
        <v>13</v>
      </c>
      <c r="C373" s="1">
        <v>38929</v>
      </c>
      <c r="D373" s="8">
        <f ca="1">ROUND(YEARFRAC(NEET[[#This Row],[Date_of_Birth]],TODAY()),0)</f>
        <v>20</v>
      </c>
      <c r="E373" t="s">
        <v>42</v>
      </c>
      <c r="F373" t="s">
        <v>15</v>
      </c>
      <c r="G373" t="s">
        <v>25</v>
      </c>
      <c r="H373">
        <v>3</v>
      </c>
      <c r="I373">
        <v>119</v>
      </c>
      <c r="J373">
        <v>118</v>
      </c>
      <c r="K373">
        <v>143</v>
      </c>
      <c r="L373">
        <v>380</v>
      </c>
      <c r="M373">
        <v>2026</v>
      </c>
    </row>
    <row r="374" spans="1:13" x14ac:dyDescent="0.25">
      <c r="A374" t="s">
        <v>411</v>
      </c>
      <c r="B374" t="s">
        <v>13</v>
      </c>
      <c r="C374" s="1">
        <v>36729</v>
      </c>
      <c r="D374" s="8">
        <f ca="1">ROUND(YEARFRAC(NEET[[#This Row],[Date_of_Birth]],TODAY()),0)</f>
        <v>26</v>
      </c>
      <c r="E374" t="s">
        <v>40</v>
      </c>
      <c r="F374" t="s">
        <v>15</v>
      </c>
      <c r="G374" t="s">
        <v>34</v>
      </c>
      <c r="H374">
        <v>3</v>
      </c>
      <c r="I374">
        <v>176</v>
      </c>
      <c r="J374">
        <v>84</v>
      </c>
      <c r="K374">
        <v>173</v>
      </c>
      <c r="L374">
        <v>433</v>
      </c>
      <c r="M374">
        <v>2023</v>
      </c>
    </row>
    <row r="375" spans="1:13" x14ac:dyDescent="0.25">
      <c r="A375" t="s">
        <v>412</v>
      </c>
      <c r="B375" t="s">
        <v>13</v>
      </c>
      <c r="C375" s="1">
        <v>39722</v>
      </c>
      <c r="D375" s="8">
        <f ca="1">ROUND(YEARFRAC(NEET[[#This Row],[Date_of_Birth]],TODAY()),0)</f>
        <v>18</v>
      </c>
      <c r="E375" t="s">
        <v>69</v>
      </c>
      <c r="F375" t="s">
        <v>70</v>
      </c>
      <c r="G375" t="s">
        <v>29</v>
      </c>
      <c r="H375">
        <v>2</v>
      </c>
      <c r="I375">
        <v>32</v>
      </c>
      <c r="J375">
        <v>151</v>
      </c>
      <c r="K375">
        <v>127</v>
      </c>
      <c r="L375">
        <v>310</v>
      </c>
      <c r="M375">
        <v>2025</v>
      </c>
    </row>
    <row r="376" spans="1:13" x14ac:dyDescent="0.25">
      <c r="A376" t="s">
        <v>413</v>
      </c>
      <c r="B376" t="s">
        <v>20</v>
      </c>
      <c r="C376" s="1">
        <v>39445</v>
      </c>
      <c r="D376" s="8">
        <f ca="1">ROUND(YEARFRAC(NEET[[#This Row],[Date_of_Birth]],TODAY()),0)</f>
        <v>18</v>
      </c>
      <c r="E376" t="s">
        <v>36</v>
      </c>
      <c r="F376" t="s">
        <v>37</v>
      </c>
      <c r="G376" t="s">
        <v>22</v>
      </c>
      <c r="H376">
        <v>3</v>
      </c>
      <c r="I376">
        <v>100</v>
      </c>
      <c r="J376">
        <v>138</v>
      </c>
      <c r="K376">
        <v>252</v>
      </c>
      <c r="L376">
        <v>490</v>
      </c>
      <c r="M376">
        <v>2026</v>
      </c>
    </row>
    <row r="377" spans="1:13" x14ac:dyDescent="0.25">
      <c r="A377" t="s">
        <v>414</v>
      </c>
      <c r="B377" t="s">
        <v>13</v>
      </c>
      <c r="C377" s="1">
        <v>37763</v>
      </c>
      <c r="D377" s="8">
        <f ca="1">ROUND(YEARFRAC(NEET[[#This Row],[Date_of_Birth]],TODAY()),0)</f>
        <v>23</v>
      </c>
      <c r="E377" t="s">
        <v>21</v>
      </c>
      <c r="F377" t="s">
        <v>21</v>
      </c>
      <c r="G377" t="s">
        <v>16</v>
      </c>
      <c r="H377">
        <v>3</v>
      </c>
      <c r="I377">
        <v>163</v>
      </c>
      <c r="J377">
        <v>131</v>
      </c>
      <c r="K377">
        <v>359</v>
      </c>
      <c r="L377">
        <v>653</v>
      </c>
      <c r="M377">
        <v>2025</v>
      </c>
    </row>
    <row r="378" spans="1:13" x14ac:dyDescent="0.25">
      <c r="A378" t="s">
        <v>415</v>
      </c>
      <c r="B378" t="s">
        <v>20</v>
      </c>
      <c r="C378" s="1">
        <v>37748</v>
      </c>
      <c r="D378" s="8">
        <f ca="1">ROUND(YEARFRAC(NEET[[#This Row],[Date_of_Birth]],TODAY()),0)</f>
        <v>23</v>
      </c>
      <c r="E378" t="s">
        <v>21</v>
      </c>
      <c r="F378" t="s">
        <v>21</v>
      </c>
      <c r="G378" t="s">
        <v>29</v>
      </c>
      <c r="H378">
        <v>3</v>
      </c>
      <c r="I378">
        <v>57</v>
      </c>
      <c r="J378">
        <v>153</v>
      </c>
      <c r="K378">
        <v>92</v>
      </c>
      <c r="L378">
        <v>302</v>
      </c>
      <c r="M378">
        <v>2025</v>
      </c>
    </row>
    <row r="379" spans="1:13" x14ac:dyDescent="0.25">
      <c r="A379" t="s">
        <v>416</v>
      </c>
      <c r="B379" t="s">
        <v>13</v>
      </c>
      <c r="C379" s="1">
        <v>39213</v>
      </c>
      <c r="D379" s="8">
        <f ca="1">ROUND(YEARFRAC(NEET[[#This Row],[Date_of_Birth]],TODAY()),0)</f>
        <v>19</v>
      </c>
      <c r="E379" t="s">
        <v>36</v>
      </c>
      <c r="F379" t="s">
        <v>37</v>
      </c>
      <c r="G379" t="s">
        <v>29</v>
      </c>
      <c r="H379">
        <v>4</v>
      </c>
      <c r="I379">
        <v>106</v>
      </c>
      <c r="J379">
        <v>78</v>
      </c>
      <c r="K379">
        <v>136</v>
      </c>
      <c r="L379">
        <v>320</v>
      </c>
      <c r="M379">
        <v>2024</v>
      </c>
    </row>
    <row r="380" spans="1:13" x14ac:dyDescent="0.25">
      <c r="A380" t="s">
        <v>417</v>
      </c>
      <c r="B380" t="s">
        <v>20</v>
      </c>
      <c r="C380" s="1">
        <v>39480</v>
      </c>
      <c r="D380" s="8">
        <f ca="1">ROUND(YEARFRAC(NEET[[#This Row],[Date_of_Birth]],TODAY()),0)</f>
        <v>18</v>
      </c>
      <c r="E380" t="s">
        <v>53</v>
      </c>
      <c r="F380" t="s">
        <v>15</v>
      </c>
      <c r="G380" t="s">
        <v>25</v>
      </c>
      <c r="H380">
        <v>4</v>
      </c>
      <c r="I380">
        <v>157</v>
      </c>
      <c r="J380">
        <v>105</v>
      </c>
      <c r="K380">
        <v>192</v>
      </c>
      <c r="L380">
        <v>454</v>
      </c>
      <c r="M380">
        <v>2024</v>
      </c>
    </row>
    <row r="381" spans="1:13" x14ac:dyDescent="0.25">
      <c r="A381" t="s">
        <v>418</v>
      </c>
      <c r="B381" t="s">
        <v>20</v>
      </c>
      <c r="C381" s="1">
        <v>37931</v>
      </c>
      <c r="D381" s="8">
        <f ca="1">ROUND(YEARFRAC(NEET[[#This Row],[Date_of_Birth]],TODAY()),0)</f>
        <v>23</v>
      </c>
      <c r="E381" t="s">
        <v>36</v>
      </c>
      <c r="F381" t="s">
        <v>37</v>
      </c>
      <c r="G381" t="s">
        <v>16</v>
      </c>
      <c r="H381">
        <v>2</v>
      </c>
      <c r="I381">
        <v>86</v>
      </c>
      <c r="J381">
        <v>166</v>
      </c>
      <c r="K381">
        <v>303</v>
      </c>
      <c r="L381">
        <v>555</v>
      </c>
      <c r="M381">
        <v>2024</v>
      </c>
    </row>
    <row r="382" spans="1:13" x14ac:dyDescent="0.25">
      <c r="A382" t="s">
        <v>419</v>
      </c>
      <c r="B382" t="s">
        <v>20</v>
      </c>
      <c r="C382" s="1">
        <v>37729</v>
      </c>
      <c r="D382" s="8">
        <f ca="1">ROUND(YEARFRAC(NEET[[#This Row],[Date_of_Birth]],TODAY()),0)</f>
        <v>23</v>
      </c>
      <c r="E382" t="s">
        <v>14</v>
      </c>
      <c r="F382" t="s">
        <v>15</v>
      </c>
      <c r="G382" t="s">
        <v>22</v>
      </c>
      <c r="H382">
        <v>1</v>
      </c>
      <c r="I382">
        <v>150</v>
      </c>
      <c r="J382">
        <v>62</v>
      </c>
      <c r="K382">
        <v>192</v>
      </c>
      <c r="L382">
        <v>404</v>
      </c>
      <c r="M382">
        <v>2025</v>
      </c>
    </row>
    <row r="383" spans="1:13" x14ac:dyDescent="0.25">
      <c r="A383" t="s">
        <v>420</v>
      </c>
      <c r="B383" t="s">
        <v>20</v>
      </c>
      <c r="C383" s="1">
        <v>37440</v>
      </c>
      <c r="D383" s="8">
        <f ca="1">ROUND(YEARFRAC(NEET[[#This Row],[Date_of_Birth]],TODAY()),0)</f>
        <v>24</v>
      </c>
      <c r="E383" t="s">
        <v>36</v>
      </c>
      <c r="F383" t="s">
        <v>37</v>
      </c>
      <c r="G383" t="s">
        <v>34</v>
      </c>
      <c r="H383">
        <v>3</v>
      </c>
      <c r="I383">
        <v>108</v>
      </c>
      <c r="J383">
        <v>137</v>
      </c>
      <c r="K383">
        <v>229</v>
      </c>
      <c r="L383">
        <v>474</v>
      </c>
      <c r="M383">
        <v>2023</v>
      </c>
    </row>
    <row r="384" spans="1:13" x14ac:dyDescent="0.25">
      <c r="A384" t="s">
        <v>421</v>
      </c>
      <c r="B384" t="s">
        <v>13</v>
      </c>
      <c r="C384" s="1">
        <v>38453</v>
      </c>
      <c r="D384" s="8">
        <f ca="1">ROUND(YEARFRAC(NEET[[#This Row],[Date_of_Birth]],TODAY()),0)</f>
        <v>21</v>
      </c>
      <c r="E384" t="s">
        <v>53</v>
      </c>
      <c r="F384" t="s">
        <v>15</v>
      </c>
      <c r="G384" t="s">
        <v>34</v>
      </c>
      <c r="H384">
        <v>1</v>
      </c>
      <c r="I384">
        <v>179</v>
      </c>
      <c r="J384">
        <v>178</v>
      </c>
      <c r="K384">
        <v>96</v>
      </c>
      <c r="L384">
        <v>453</v>
      </c>
      <c r="M384">
        <v>2025</v>
      </c>
    </row>
    <row r="385" spans="1:13" x14ac:dyDescent="0.25">
      <c r="A385" t="s">
        <v>422</v>
      </c>
      <c r="B385" t="s">
        <v>20</v>
      </c>
      <c r="C385" s="1">
        <v>38218</v>
      </c>
      <c r="D385" s="8">
        <f ca="1">ROUND(YEARFRAC(NEET[[#This Row],[Date_of_Birth]],TODAY()),0)</f>
        <v>22</v>
      </c>
      <c r="E385" t="s">
        <v>53</v>
      </c>
      <c r="F385" t="s">
        <v>15</v>
      </c>
      <c r="G385" t="s">
        <v>22</v>
      </c>
      <c r="H385">
        <v>4</v>
      </c>
      <c r="I385">
        <v>68</v>
      </c>
      <c r="J385">
        <v>65</v>
      </c>
      <c r="K385">
        <v>162</v>
      </c>
      <c r="L385">
        <v>295</v>
      </c>
      <c r="M385">
        <v>2025</v>
      </c>
    </row>
    <row r="386" spans="1:13" x14ac:dyDescent="0.25">
      <c r="A386" t="s">
        <v>423</v>
      </c>
      <c r="B386" t="s">
        <v>20</v>
      </c>
      <c r="C386" s="1">
        <v>39457</v>
      </c>
      <c r="D386" s="8">
        <f ca="1">ROUND(YEARFRAC(NEET[[#This Row],[Date_of_Birth]],TODAY()),0)</f>
        <v>18</v>
      </c>
      <c r="E386" t="s">
        <v>40</v>
      </c>
      <c r="F386" t="s">
        <v>15</v>
      </c>
      <c r="G386" t="s">
        <v>25</v>
      </c>
      <c r="H386">
        <v>1</v>
      </c>
      <c r="I386">
        <v>50</v>
      </c>
      <c r="J386">
        <v>154</v>
      </c>
      <c r="K386">
        <v>230</v>
      </c>
      <c r="L386">
        <v>434</v>
      </c>
      <c r="M386">
        <v>2026</v>
      </c>
    </row>
    <row r="387" spans="1:13" x14ac:dyDescent="0.25">
      <c r="A387" t="s">
        <v>424</v>
      </c>
      <c r="B387" t="s">
        <v>13</v>
      </c>
      <c r="C387" s="1">
        <v>37646</v>
      </c>
      <c r="D387" s="8">
        <f ca="1">ROUND(YEARFRAC(NEET[[#This Row],[Date_of_Birth]],TODAY()),0)</f>
        <v>23</v>
      </c>
      <c r="E387" t="s">
        <v>62</v>
      </c>
      <c r="F387" t="s">
        <v>15</v>
      </c>
      <c r="G387" t="s">
        <v>16</v>
      </c>
      <c r="H387">
        <v>2</v>
      </c>
      <c r="I387">
        <v>73</v>
      </c>
      <c r="J387">
        <v>177</v>
      </c>
      <c r="K387">
        <v>141</v>
      </c>
      <c r="L387">
        <v>391</v>
      </c>
      <c r="M387">
        <v>2026</v>
      </c>
    </row>
    <row r="388" spans="1:13" x14ac:dyDescent="0.25">
      <c r="A388" t="s">
        <v>425</v>
      </c>
      <c r="B388" t="s">
        <v>13</v>
      </c>
      <c r="C388" s="1">
        <v>39120</v>
      </c>
      <c r="D388" s="8">
        <f ca="1">ROUND(YEARFRAC(NEET[[#This Row],[Date_of_Birth]],TODAY()),0)</f>
        <v>19</v>
      </c>
      <c r="E388" t="s">
        <v>18</v>
      </c>
      <c r="F388" t="s">
        <v>15</v>
      </c>
      <c r="G388" t="s">
        <v>16</v>
      </c>
      <c r="H388">
        <v>1</v>
      </c>
      <c r="I388">
        <v>133</v>
      </c>
      <c r="J388">
        <v>139</v>
      </c>
      <c r="K388">
        <v>304</v>
      </c>
      <c r="L388">
        <v>576</v>
      </c>
      <c r="M388">
        <v>2024</v>
      </c>
    </row>
    <row r="389" spans="1:13" x14ac:dyDescent="0.25">
      <c r="A389" t="s">
        <v>426</v>
      </c>
      <c r="B389" t="s">
        <v>13</v>
      </c>
      <c r="C389" s="1">
        <v>39518</v>
      </c>
      <c r="D389" s="8">
        <f ca="1">ROUND(YEARFRAC(NEET[[#This Row],[Date_of_Birth]],TODAY()),0)</f>
        <v>18</v>
      </c>
      <c r="E389" t="s">
        <v>46</v>
      </c>
      <c r="F389" t="s">
        <v>15</v>
      </c>
      <c r="G389" t="s">
        <v>22</v>
      </c>
      <c r="H389">
        <v>1</v>
      </c>
      <c r="I389">
        <v>33</v>
      </c>
      <c r="J389">
        <v>112</v>
      </c>
      <c r="K389">
        <v>331</v>
      </c>
      <c r="L389">
        <v>476</v>
      </c>
      <c r="M389">
        <v>2024</v>
      </c>
    </row>
    <row r="390" spans="1:13" x14ac:dyDescent="0.25">
      <c r="A390" t="s">
        <v>427</v>
      </c>
      <c r="B390" t="s">
        <v>20</v>
      </c>
      <c r="C390" s="1">
        <v>39366</v>
      </c>
      <c r="D390" s="8">
        <f ca="1">ROUND(YEARFRAC(NEET[[#This Row],[Date_of_Birth]],TODAY()),0)</f>
        <v>19</v>
      </c>
      <c r="E390" t="s">
        <v>48</v>
      </c>
      <c r="F390" t="s">
        <v>49</v>
      </c>
      <c r="G390" t="s">
        <v>22</v>
      </c>
      <c r="H390">
        <v>3</v>
      </c>
      <c r="I390">
        <v>118</v>
      </c>
      <c r="J390">
        <v>109</v>
      </c>
      <c r="K390">
        <v>126</v>
      </c>
      <c r="L390">
        <v>353</v>
      </c>
      <c r="M390">
        <v>2023</v>
      </c>
    </row>
    <row r="391" spans="1:13" x14ac:dyDescent="0.25">
      <c r="A391" t="s">
        <v>428</v>
      </c>
      <c r="B391" t="s">
        <v>20</v>
      </c>
      <c r="C391" s="1">
        <v>36713</v>
      </c>
      <c r="D391" s="8">
        <f ca="1">ROUND(YEARFRAC(NEET[[#This Row],[Date_of_Birth]],TODAY()),0)</f>
        <v>26</v>
      </c>
      <c r="E391" t="s">
        <v>24</v>
      </c>
      <c r="F391" t="s">
        <v>15</v>
      </c>
      <c r="G391" t="s">
        <v>29</v>
      </c>
      <c r="H391">
        <v>2</v>
      </c>
      <c r="I391">
        <v>104</v>
      </c>
      <c r="J391">
        <v>146</v>
      </c>
      <c r="K391">
        <v>326</v>
      </c>
      <c r="L391">
        <v>576</v>
      </c>
      <c r="M391">
        <v>2026</v>
      </c>
    </row>
    <row r="392" spans="1:13" x14ac:dyDescent="0.25">
      <c r="A392" t="s">
        <v>429</v>
      </c>
      <c r="B392" t="s">
        <v>13</v>
      </c>
      <c r="C392" s="1">
        <v>37997</v>
      </c>
      <c r="D392" s="8">
        <f ca="1">ROUND(YEARFRAC(NEET[[#This Row],[Date_of_Birth]],TODAY()),0)</f>
        <v>22</v>
      </c>
      <c r="E392" t="s">
        <v>69</v>
      </c>
      <c r="F392" t="s">
        <v>70</v>
      </c>
      <c r="G392" t="s">
        <v>22</v>
      </c>
      <c r="H392">
        <v>2</v>
      </c>
      <c r="I392">
        <v>78</v>
      </c>
      <c r="J392">
        <v>72</v>
      </c>
      <c r="K392">
        <v>266</v>
      </c>
      <c r="L392">
        <v>416</v>
      </c>
      <c r="M392">
        <v>2024</v>
      </c>
    </row>
    <row r="393" spans="1:13" x14ac:dyDescent="0.25">
      <c r="A393" t="s">
        <v>430</v>
      </c>
      <c r="B393" t="s">
        <v>20</v>
      </c>
      <c r="C393" s="1">
        <v>39532</v>
      </c>
      <c r="D393" s="8">
        <f ca="1">ROUND(YEARFRAC(NEET[[#This Row],[Date_of_Birth]],TODAY()),0)</f>
        <v>18</v>
      </c>
      <c r="E393" t="s">
        <v>53</v>
      </c>
      <c r="F393" t="s">
        <v>15</v>
      </c>
      <c r="G393" t="s">
        <v>34</v>
      </c>
      <c r="H393">
        <v>1</v>
      </c>
      <c r="I393">
        <v>180</v>
      </c>
      <c r="J393">
        <v>159</v>
      </c>
      <c r="K393">
        <v>146</v>
      </c>
      <c r="L393">
        <v>485</v>
      </c>
      <c r="M393">
        <v>2025</v>
      </c>
    </row>
    <row r="394" spans="1:13" x14ac:dyDescent="0.25">
      <c r="A394" t="s">
        <v>431</v>
      </c>
      <c r="B394" t="s">
        <v>13</v>
      </c>
      <c r="C394" s="1">
        <v>39685</v>
      </c>
      <c r="D394" s="8">
        <f ca="1">ROUND(YEARFRAC(NEET[[#This Row],[Date_of_Birth]],TODAY()),0)</f>
        <v>18</v>
      </c>
      <c r="E394" t="s">
        <v>42</v>
      </c>
      <c r="F394" t="s">
        <v>15</v>
      </c>
      <c r="G394" t="s">
        <v>34</v>
      </c>
      <c r="H394">
        <v>1</v>
      </c>
      <c r="I394">
        <v>42</v>
      </c>
      <c r="J394">
        <v>42</v>
      </c>
      <c r="K394">
        <v>115</v>
      </c>
      <c r="L394">
        <v>199</v>
      </c>
      <c r="M394">
        <v>2026</v>
      </c>
    </row>
    <row r="395" spans="1:13" x14ac:dyDescent="0.25">
      <c r="A395" t="s">
        <v>432</v>
      </c>
      <c r="B395" t="s">
        <v>13</v>
      </c>
      <c r="C395" s="1">
        <v>38083</v>
      </c>
      <c r="D395" s="8">
        <f ca="1">ROUND(YEARFRAC(NEET[[#This Row],[Date_of_Birth]],TODAY()),0)</f>
        <v>22</v>
      </c>
      <c r="E395" t="s">
        <v>14</v>
      </c>
      <c r="F395" t="s">
        <v>15</v>
      </c>
      <c r="G395" t="s">
        <v>29</v>
      </c>
      <c r="H395">
        <v>1</v>
      </c>
      <c r="I395">
        <v>170</v>
      </c>
      <c r="J395">
        <v>94</v>
      </c>
      <c r="K395">
        <v>302</v>
      </c>
      <c r="L395">
        <v>566</v>
      </c>
      <c r="M395">
        <v>2026</v>
      </c>
    </row>
    <row r="396" spans="1:13" x14ac:dyDescent="0.25">
      <c r="A396" t="s">
        <v>433</v>
      </c>
      <c r="B396" t="s">
        <v>13</v>
      </c>
      <c r="C396" s="1">
        <v>39236</v>
      </c>
      <c r="D396" s="8">
        <f ca="1">ROUND(YEARFRAC(NEET[[#This Row],[Date_of_Birth]],TODAY()),0)</f>
        <v>19</v>
      </c>
      <c r="E396" t="s">
        <v>14</v>
      </c>
      <c r="F396" t="s">
        <v>15</v>
      </c>
      <c r="G396" t="s">
        <v>29</v>
      </c>
      <c r="H396">
        <v>1</v>
      </c>
      <c r="I396">
        <v>163</v>
      </c>
      <c r="J396">
        <v>99</v>
      </c>
      <c r="K396">
        <v>130</v>
      </c>
      <c r="L396">
        <v>392</v>
      </c>
      <c r="M396">
        <v>2023</v>
      </c>
    </row>
    <row r="397" spans="1:13" x14ac:dyDescent="0.25">
      <c r="A397" t="s">
        <v>434</v>
      </c>
      <c r="B397" t="s">
        <v>13</v>
      </c>
      <c r="C397" s="1">
        <v>39740</v>
      </c>
      <c r="D397" s="8">
        <f ca="1">ROUND(YEARFRAC(NEET[[#This Row],[Date_of_Birth]],TODAY()),0)</f>
        <v>18</v>
      </c>
      <c r="E397" t="s">
        <v>14</v>
      </c>
      <c r="F397" t="s">
        <v>15</v>
      </c>
      <c r="G397" t="s">
        <v>34</v>
      </c>
      <c r="H397">
        <v>3</v>
      </c>
      <c r="I397">
        <v>157</v>
      </c>
      <c r="J397">
        <v>80</v>
      </c>
      <c r="K397">
        <v>162</v>
      </c>
      <c r="L397">
        <v>399</v>
      </c>
      <c r="M397">
        <v>2025</v>
      </c>
    </row>
    <row r="398" spans="1:13" x14ac:dyDescent="0.25">
      <c r="A398" t="s">
        <v>435</v>
      </c>
      <c r="B398" t="s">
        <v>20</v>
      </c>
      <c r="C398" s="1">
        <v>37182</v>
      </c>
      <c r="D398" s="8">
        <f ca="1">ROUND(YEARFRAC(NEET[[#This Row],[Date_of_Birth]],TODAY()),0)</f>
        <v>25</v>
      </c>
      <c r="E398" t="s">
        <v>53</v>
      </c>
      <c r="F398" t="s">
        <v>15</v>
      </c>
      <c r="G398" t="s">
        <v>25</v>
      </c>
      <c r="H398">
        <v>2</v>
      </c>
      <c r="I398">
        <v>170</v>
      </c>
      <c r="J398">
        <v>157</v>
      </c>
      <c r="K398">
        <v>166</v>
      </c>
      <c r="L398">
        <v>493</v>
      </c>
      <c r="M398">
        <v>2023</v>
      </c>
    </row>
    <row r="399" spans="1:13" x14ac:dyDescent="0.25">
      <c r="A399" t="s">
        <v>436</v>
      </c>
      <c r="B399" t="s">
        <v>13</v>
      </c>
      <c r="C399" s="1">
        <v>39277</v>
      </c>
      <c r="D399" s="8">
        <f ca="1">ROUND(YEARFRAC(NEET[[#This Row],[Date_of_Birth]],TODAY()),0)</f>
        <v>19</v>
      </c>
      <c r="E399" t="s">
        <v>14</v>
      </c>
      <c r="F399" t="s">
        <v>15</v>
      </c>
      <c r="G399" t="s">
        <v>25</v>
      </c>
      <c r="H399">
        <v>1</v>
      </c>
      <c r="I399">
        <v>58</v>
      </c>
      <c r="J399">
        <v>176</v>
      </c>
      <c r="K399">
        <v>312</v>
      </c>
      <c r="L399">
        <v>546</v>
      </c>
      <c r="M399">
        <v>2025</v>
      </c>
    </row>
    <row r="400" spans="1:13" x14ac:dyDescent="0.25">
      <c r="A400" t="s">
        <v>437</v>
      </c>
      <c r="B400" t="s">
        <v>13</v>
      </c>
      <c r="C400" s="1">
        <v>39165</v>
      </c>
      <c r="D400" s="8">
        <f ca="1">ROUND(YEARFRAC(NEET[[#This Row],[Date_of_Birth]],TODAY()),0)</f>
        <v>19</v>
      </c>
      <c r="E400" t="s">
        <v>62</v>
      </c>
      <c r="F400" t="s">
        <v>15</v>
      </c>
      <c r="G400" t="s">
        <v>22</v>
      </c>
      <c r="H400">
        <v>1</v>
      </c>
      <c r="I400">
        <v>146</v>
      </c>
      <c r="J400">
        <v>105</v>
      </c>
      <c r="K400">
        <v>195</v>
      </c>
      <c r="L400">
        <v>446</v>
      </c>
      <c r="M400">
        <v>2023</v>
      </c>
    </row>
    <row r="401" spans="1:13" x14ac:dyDescent="0.25">
      <c r="A401" t="s">
        <v>438</v>
      </c>
      <c r="B401" t="s">
        <v>13</v>
      </c>
      <c r="C401" s="1">
        <v>37716</v>
      </c>
      <c r="D401" s="8">
        <f ca="1">ROUND(YEARFRAC(NEET[[#This Row],[Date_of_Birth]],TODAY()),0)</f>
        <v>23</v>
      </c>
      <c r="E401" t="s">
        <v>46</v>
      </c>
      <c r="F401" t="s">
        <v>15</v>
      </c>
      <c r="G401" t="s">
        <v>22</v>
      </c>
      <c r="H401">
        <v>1</v>
      </c>
      <c r="I401">
        <v>110</v>
      </c>
      <c r="J401">
        <v>139</v>
      </c>
      <c r="K401">
        <v>119</v>
      </c>
      <c r="L401">
        <v>368</v>
      </c>
      <c r="M401">
        <v>2024</v>
      </c>
    </row>
    <row r="402" spans="1:13" x14ac:dyDescent="0.25">
      <c r="A402" t="s">
        <v>439</v>
      </c>
      <c r="B402" t="s">
        <v>20</v>
      </c>
      <c r="C402" s="1">
        <v>37872</v>
      </c>
      <c r="D402" s="8">
        <f ca="1">ROUND(YEARFRAC(NEET[[#This Row],[Date_of_Birth]],TODAY()),0)</f>
        <v>23</v>
      </c>
      <c r="E402" t="s">
        <v>46</v>
      </c>
      <c r="F402" t="s">
        <v>15</v>
      </c>
      <c r="G402" t="s">
        <v>25</v>
      </c>
      <c r="H402">
        <v>2</v>
      </c>
      <c r="I402">
        <v>142</v>
      </c>
      <c r="J402">
        <v>98</v>
      </c>
      <c r="K402">
        <v>107</v>
      </c>
      <c r="L402">
        <v>347</v>
      </c>
      <c r="M402">
        <v>2026</v>
      </c>
    </row>
    <row r="403" spans="1:13" x14ac:dyDescent="0.25">
      <c r="A403" t="s">
        <v>440</v>
      </c>
      <c r="B403" t="s">
        <v>13</v>
      </c>
      <c r="C403" s="1">
        <v>38165</v>
      </c>
      <c r="D403" s="8">
        <f ca="1">ROUND(YEARFRAC(NEET[[#This Row],[Date_of_Birth]],TODAY()),0)</f>
        <v>22</v>
      </c>
      <c r="E403" t="s">
        <v>73</v>
      </c>
      <c r="F403" t="s">
        <v>15</v>
      </c>
      <c r="G403" t="s">
        <v>22</v>
      </c>
      <c r="H403">
        <v>1</v>
      </c>
      <c r="I403">
        <v>99</v>
      </c>
      <c r="J403">
        <v>128</v>
      </c>
      <c r="K403">
        <v>304</v>
      </c>
      <c r="L403">
        <v>531</v>
      </c>
      <c r="M403">
        <v>2023</v>
      </c>
    </row>
    <row r="404" spans="1:13" x14ac:dyDescent="0.25">
      <c r="A404" t="s">
        <v>441</v>
      </c>
      <c r="B404" t="s">
        <v>13</v>
      </c>
      <c r="C404" s="1">
        <v>37178</v>
      </c>
      <c r="D404" s="8">
        <f ca="1">ROUND(YEARFRAC(NEET[[#This Row],[Date_of_Birth]],TODAY()),0)</f>
        <v>25</v>
      </c>
      <c r="E404" t="s">
        <v>14</v>
      </c>
      <c r="F404" t="s">
        <v>15</v>
      </c>
      <c r="G404" t="s">
        <v>29</v>
      </c>
      <c r="H404">
        <v>4</v>
      </c>
      <c r="I404">
        <v>136</v>
      </c>
      <c r="J404">
        <v>153</v>
      </c>
      <c r="K404">
        <v>351</v>
      </c>
      <c r="L404">
        <v>640</v>
      </c>
      <c r="M404">
        <v>2023</v>
      </c>
    </row>
    <row r="405" spans="1:13" x14ac:dyDescent="0.25">
      <c r="A405" t="s">
        <v>442</v>
      </c>
      <c r="B405" t="s">
        <v>20</v>
      </c>
      <c r="C405" s="1">
        <v>39329</v>
      </c>
      <c r="D405" s="8">
        <f ca="1">ROUND(YEARFRAC(NEET[[#This Row],[Date_of_Birth]],TODAY()),0)</f>
        <v>19</v>
      </c>
      <c r="E405" t="s">
        <v>48</v>
      </c>
      <c r="F405" t="s">
        <v>49</v>
      </c>
      <c r="G405" t="s">
        <v>25</v>
      </c>
      <c r="H405">
        <v>4</v>
      </c>
      <c r="I405">
        <v>63</v>
      </c>
      <c r="J405">
        <v>153</v>
      </c>
      <c r="K405">
        <v>309</v>
      </c>
      <c r="L405">
        <v>525</v>
      </c>
      <c r="M405">
        <v>2023</v>
      </c>
    </row>
    <row r="406" spans="1:13" x14ac:dyDescent="0.25">
      <c r="A406" t="s">
        <v>443</v>
      </c>
      <c r="B406" t="s">
        <v>20</v>
      </c>
      <c r="C406" s="1">
        <v>37597</v>
      </c>
      <c r="D406" s="8">
        <f ca="1">ROUND(YEARFRAC(NEET[[#This Row],[Date_of_Birth]],TODAY()),0)</f>
        <v>23</v>
      </c>
      <c r="E406" t="s">
        <v>21</v>
      </c>
      <c r="F406" t="s">
        <v>21</v>
      </c>
      <c r="G406" t="s">
        <v>34</v>
      </c>
      <c r="H406">
        <v>1</v>
      </c>
      <c r="I406">
        <v>110</v>
      </c>
      <c r="J406">
        <v>33</v>
      </c>
      <c r="K406">
        <v>328</v>
      </c>
      <c r="L406">
        <v>471</v>
      </c>
      <c r="M406">
        <v>2024</v>
      </c>
    </row>
    <row r="407" spans="1:13" x14ac:dyDescent="0.25">
      <c r="A407" t="s">
        <v>444</v>
      </c>
      <c r="B407" t="s">
        <v>13</v>
      </c>
      <c r="C407" s="1">
        <v>38499</v>
      </c>
      <c r="D407" s="8">
        <f ca="1">ROUND(YEARFRAC(NEET[[#This Row],[Date_of_Birth]],TODAY()),0)</f>
        <v>21</v>
      </c>
      <c r="E407" t="s">
        <v>46</v>
      </c>
      <c r="F407" t="s">
        <v>15</v>
      </c>
      <c r="G407" t="s">
        <v>16</v>
      </c>
      <c r="H407">
        <v>2</v>
      </c>
      <c r="I407">
        <v>128</v>
      </c>
      <c r="J407">
        <v>68</v>
      </c>
      <c r="K407">
        <v>345</v>
      </c>
      <c r="L407">
        <v>541</v>
      </c>
      <c r="M407">
        <v>2026</v>
      </c>
    </row>
    <row r="408" spans="1:13" x14ac:dyDescent="0.25">
      <c r="A408" t="s">
        <v>445</v>
      </c>
      <c r="B408" t="s">
        <v>13</v>
      </c>
      <c r="C408" s="1">
        <v>38556</v>
      </c>
      <c r="D408" s="8">
        <f ca="1">ROUND(YEARFRAC(NEET[[#This Row],[Date_of_Birth]],TODAY()),0)</f>
        <v>21</v>
      </c>
      <c r="E408" t="s">
        <v>31</v>
      </c>
      <c r="F408" t="s">
        <v>32</v>
      </c>
      <c r="G408" t="s">
        <v>29</v>
      </c>
      <c r="H408">
        <v>3</v>
      </c>
      <c r="I408">
        <v>72</v>
      </c>
      <c r="J408">
        <v>49</v>
      </c>
      <c r="K408">
        <v>311</v>
      </c>
      <c r="L408">
        <v>432</v>
      </c>
      <c r="M408">
        <v>2023</v>
      </c>
    </row>
    <row r="409" spans="1:13" x14ac:dyDescent="0.25">
      <c r="A409" t="s">
        <v>446</v>
      </c>
      <c r="B409" t="s">
        <v>13</v>
      </c>
      <c r="C409" s="1">
        <v>38602</v>
      </c>
      <c r="D409" s="8">
        <f ca="1">ROUND(YEARFRAC(NEET[[#This Row],[Date_of_Birth]],TODAY()),0)</f>
        <v>21</v>
      </c>
      <c r="E409" t="s">
        <v>62</v>
      </c>
      <c r="F409" t="s">
        <v>15</v>
      </c>
      <c r="G409" t="s">
        <v>34</v>
      </c>
      <c r="H409">
        <v>4</v>
      </c>
      <c r="I409">
        <v>170</v>
      </c>
      <c r="J409">
        <v>126</v>
      </c>
      <c r="K409">
        <v>266</v>
      </c>
      <c r="L409">
        <v>562</v>
      </c>
      <c r="M409">
        <v>2026</v>
      </c>
    </row>
    <row r="410" spans="1:13" x14ac:dyDescent="0.25">
      <c r="A410" t="s">
        <v>447</v>
      </c>
      <c r="B410" t="s">
        <v>20</v>
      </c>
      <c r="C410" s="1">
        <v>36886</v>
      </c>
      <c r="D410" s="8">
        <f ca="1">ROUND(YEARFRAC(NEET[[#This Row],[Date_of_Birth]],TODAY()),0)</f>
        <v>25</v>
      </c>
      <c r="E410" t="s">
        <v>31</v>
      </c>
      <c r="F410" t="s">
        <v>32</v>
      </c>
      <c r="G410" t="s">
        <v>25</v>
      </c>
      <c r="H410">
        <v>1</v>
      </c>
      <c r="I410">
        <v>157</v>
      </c>
      <c r="J410">
        <v>144</v>
      </c>
      <c r="K410">
        <v>221</v>
      </c>
      <c r="L410">
        <v>522</v>
      </c>
      <c r="M410">
        <v>2026</v>
      </c>
    </row>
    <row r="411" spans="1:13" x14ac:dyDescent="0.25">
      <c r="A411" t="s">
        <v>448</v>
      </c>
      <c r="B411" t="s">
        <v>20</v>
      </c>
      <c r="C411" s="1">
        <v>38214</v>
      </c>
      <c r="D411" s="8">
        <f ca="1">ROUND(YEARFRAC(NEET[[#This Row],[Date_of_Birth]],TODAY()),0)</f>
        <v>22</v>
      </c>
      <c r="E411" t="s">
        <v>53</v>
      </c>
      <c r="F411" t="s">
        <v>15</v>
      </c>
      <c r="G411" t="s">
        <v>34</v>
      </c>
      <c r="H411">
        <v>2</v>
      </c>
      <c r="I411">
        <v>172</v>
      </c>
      <c r="J411">
        <v>170</v>
      </c>
      <c r="K411">
        <v>60</v>
      </c>
      <c r="L411">
        <v>402</v>
      </c>
      <c r="M411">
        <v>2025</v>
      </c>
    </row>
    <row r="412" spans="1:13" x14ac:dyDescent="0.25">
      <c r="A412" t="s">
        <v>449</v>
      </c>
      <c r="B412" t="s">
        <v>20</v>
      </c>
      <c r="C412" s="1">
        <v>38014</v>
      </c>
      <c r="D412" s="8">
        <f ca="1">ROUND(YEARFRAC(NEET[[#This Row],[Date_of_Birth]],TODAY()),0)</f>
        <v>22</v>
      </c>
      <c r="E412" t="s">
        <v>31</v>
      </c>
      <c r="F412" t="s">
        <v>32</v>
      </c>
      <c r="G412" t="s">
        <v>34</v>
      </c>
      <c r="H412">
        <v>3</v>
      </c>
      <c r="I412">
        <v>43</v>
      </c>
      <c r="J412">
        <v>87</v>
      </c>
      <c r="K412">
        <v>292</v>
      </c>
      <c r="L412">
        <v>422</v>
      </c>
      <c r="M412">
        <v>2023</v>
      </c>
    </row>
    <row r="413" spans="1:13" x14ac:dyDescent="0.25">
      <c r="A413" t="s">
        <v>450</v>
      </c>
      <c r="B413" t="s">
        <v>20</v>
      </c>
      <c r="C413" s="1">
        <v>36925</v>
      </c>
      <c r="D413" s="8">
        <f ca="1">ROUND(YEARFRAC(NEET[[#This Row],[Date_of_Birth]],TODAY()),0)</f>
        <v>25</v>
      </c>
      <c r="E413" t="s">
        <v>69</v>
      </c>
      <c r="F413" t="s">
        <v>70</v>
      </c>
      <c r="G413" t="s">
        <v>25</v>
      </c>
      <c r="H413">
        <v>3</v>
      </c>
      <c r="I413">
        <v>86</v>
      </c>
      <c r="J413">
        <v>30</v>
      </c>
      <c r="K413">
        <v>234</v>
      </c>
      <c r="L413">
        <v>350</v>
      </c>
      <c r="M413">
        <v>2023</v>
      </c>
    </row>
    <row r="414" spans="1:13" x14ac:dyDescent="0.25">
      <c r="A414" t="s">
        <v>451</v>
      </c>
      <c r="B414" t="s">
        <v>13</v>
      </c>
      <c r="C414" s="1">
        <v>37198</v>
      </c>
      <c r="D414" s="8">
        <f ca="1">ROUND(YEARFRAC(NEET[[#This Row],[Date_of_Birth]],TODAY()),0)</f>
        <v>25</v>
      </c>
      <c r="E414" t="s">
        <v>73</v>
      </c>
      <c r="F414" t="s">
        <v>15</v>
      </c>
      <c r="G414" t="s">
        <v>25</v>
      </c>
      <c r="H414">
        <v>2</v>
      </c>
      <c r="I414">
        <v>65</v>
      </c>
      <c r="J414">
        <v>134</v>
      </c>
      <c r="K414">
        <v>114</v>
      </c>
      <c r="L414">
        <v>313</v>
      </c>
      <c r="M414">
        <v>2026</v>
      </c>
    </row>
    <row r="415" spans="1:13" x14ac:dyDescent="0.25">
      <c r="A415" t="s">
        <v>452</v>
      </c>
      <c r="B415" t="s">
        <v>13</v>
      </c>
      <c r="C415" s="1">
        <v>37409</v>
      </c>
      <c r="D415" s="8">
        <f ca="1">ROUND(YEARFRAC(NEET[[#This Row],[Date_of_Birth]],TODAY()),0)</f>
        <v>24</v>
      </c>
      <c r="E415" t="s">
        <v>73</v>
      </c>
      <c r="F415" t="s">
        <v>15</v>
      </c>
      <c r="G415" t="s">
        <v>34</v>
      </c>
      <c r="H415">
        <v>1</v>
      </c>
      <c r="I415">
        <v>78</v>
      </c>
      <c r="J415">
        <v>116</v>
      </c>
      <c r="K415">
        <v>115</v>
      </c>
      <c r="L415">
        <v>309</v>
      </c>
      <c r="M415">
        <v>2026</v>
      </c>
    </row>
    <row r="416" spans="1:13" x14ac:dyDescent="0.25">
      <c r="A416" t="s">
        <v>453</v>
      </c>
      <c r="B416" t="s">
        <v>13</v>
      </c>
      <c r="C416" s="1">
        <v>39223</v>
      </c>
      <c r="D416" s="8">
        <f ca="1">ROUND(YEARFRAC(NEET[[#This Row],[Date_of_Birth]],TODAY()),0)</f>
        <v>19</v>
      </c>
      <c r="E416" t="s">
        <v>27</v>
      </c>
      <c r="F416" t="s">
        <v>15</v>
      </c>
      <c r="G416" t="s">
        <v>16</v>
      </c>
      <c r="H416">
        <v>4</v>
      </c>
      <c r="I416">
        <v>159</v>
      </c>
      <c r="J416">
        <v>64</v>
      </c>
      <c r="K416">
        <v>315</v>
      </c>
      <c r="L416">
        <v>538</v>
      </c>
      <c r="M416">
        <v>2026</v>
      </c>
    </row>
    <row r="417" spans="1:13" x14ac:dyDescent="0.25">
      <c r="A417" t="s">
        <v>454</v>
      </c>
      <c r="B417" t="s">
        <v>13</v>
      </c>
      <c r="C417" s="1">
        <v>38608</v>
      </c>
      <c r="D417" s="8">
        <f ca="1">ROUND(YEARFRAC(NEET[[#This Row],[Date_of_Birth]],TODAY()),0)</f>
        <v>21</v>
      </c>
      <c r="E417" t="s">
        <v>69</v>
      </c>
      <c r="F417" t="s">
        <v>70</v>
      </c>
      <c r="G417" t="s">
        <v>16</v>
      </c>
      <c r="H417">
        <v>4</v>
      </c>
      <c r="I417">
        <v>75</v>
      </c>
      <c r="J417">
        <v>178</v>
      </c>
      <c r="K417">
        <v>148</v>
      </c>
      <c r="L417">
        <v>401</v>
      </c>
      <c r="M417">
        <v>2025</v>
      </c>
    </row>
    <row r="418" spans="1:13" x14ac:dyDescent="0.25">
      <c r="A418" t="s">
        <v>455</v>
      </c>
      <c r="B418" t="s">
        <v>20</v>
      </c>
      <c r="C418" s="1">
        <v>38590</v>
      </c>
      <c r="D418" s="8">
        <f ca="1">ROUND(YEARFRAC(NEET[[#This Row],[Date_of_Birth]],TODAY()),0)</f>
        <v>21</v>
      </c>
      <c r="E418" t="s">
        <v>48</v>
      </c>
      <c r="F418" t="s">
        <v>49</v>
      </c>
      <c r="G418" t="s">
        <v>29</v>
      </c>
      <c r="H418">
        <v>3</v>
      </c>
      <c r="I418">
        <v>128</v>
      </c>
      <c r="J418">
        <v>137</v>
      </c>
      <c r="K418">
        <v>187</v>
      </c>
      <c r="L418">
        <v>452</v>
      </c>
      <c r="M418">
        <v>2026</v>
      </c>
    </row>
    <row r="419" spans="1:13" x14ac:dyDescent="0.25">
      <c r="A419" t="s">
        <v>456</v>
      </c>
      <c r="B419" t="s">
        <v>13</v>
      </c>
      <c r="C419" s="1">
        <v>37072</v>
      </c>
      <c r="D419" s="8">
        <f ca="1">ROUND(YEARFRAC(NEET[[#This Row],[Date_of_Birth]],TODAY()),0)</f>
        <v>25</v>
      </c>
      <c r="E419" t="s">
        <v>40</v>
      </c>
      <c r="F419" t="s">
        <v>15</v>
      </c>
      <c r="G419" t="s">
        <v>22</v>
      </c>
      <c r="H419">
        <v>2</v>
      </c>
      <c r="I419">
        <v>135</v>
      </c>
      <c r="J419">
        <v>161</v>
      </c>
      <c r="K419">
        <v>213</v>
      </c>
      <c r="L419">
        <v>509</v>
      </c>
      <c r="M419">
        <v>2025</v>
      </c>
    </row>
    <row r="420" spans="1:13" x14ac:dyDescent="0.25">
      <c r="A420" t="s">
        <v>457</v>
      </c>
      <c r="B420" t="s">
        <v>13</v>
      </c>
      <c r="C420" s="1">
        <v>39338</v>
      </c>
      <c r="D420" s="8">
        <f ca="1">ROUND(YEARFRAC(NEET[[#This Row],[Date_of_Birth]],TODAY()),0)</f>
        <v>19</v>
      </c>
      <c r="E420" t="s">
        <v>46</v>
      </c>
      <c r="F420" t="s">
        <v>15</v>
      </c>
      <c r="G420" t="s">
        <v>16</v>
      </c>
      <c r="H420">
        <v>3</v>
      </c>
      <c r="I420">
        <v>63</v>
      </c>
      <c r="J420">
        <v>75</v>
      </c>
      <c r="K420">
        <v>317</v>
      </c>
      <c r="L420">
        <v>455</v>
      </c>
      <c r="M420">
        <v>2026</v>
      </c>
    </row>
    <row r="421" spans="1:13" x14ac:dyDescent="0.25">
      <c r="A421" t="s">
        <v>458</v>
      </c>
      <c r="B421" t="s">
        <v>13</v>
      </c>
      <c r="C421" s="1">
        <v>38913</v>
      </c>
      <c r="D421" s="8">
        <f ca="1">ROUND(YEARFRAC(NEET[[#This Row],[Date_of_Birth]],TODAY()),0)</f>
        <v>20</v>
      </c>
      <c r="E421" t="s">
        <v>27</v>
      </c>
      <c r="F421" t="s">
        <v>15</v>
      </c>
      <c r="G421" t="s">
        <v>25</v>
      </c>
      <c r="H421">
        <v>1</v>
      </c>
      <c r="I421">
        <v>136</v>
      </c>
      <c r="J421">
        <v>166</v>
      </c>
      <c r="K421">
        <v>206</v>
      </c>
      <c r="L421">
        <v>508</v>
      </c>
      <c r="M421">
        <v>2026</v>
      </c>
    </row>
    <row r="422" spans="1:13" x14ac:dyDescent="0.25">
      <c r="A422" t="s">
        <v>459</v>
      </c>
      <c r="B422" t="s">
        <v>20</v>
      </c>
      <c r="C422" s="1">
        <v>37121</v>
      </c>
      <c r="D422" s="8">
        <f ca="1">ROUND(YEARFRAC(NEET[[#This Row],[Date_of_Birth]],TODAY()),0)</f>
        <v>25</v>
      </c>
      <c r="E422" t="s">
        <v>53</v>
      </c>
      <c r="F422" t="s">
        <v>15</v>
      </c>
      <c r="G422" t="s">
        <v>22</v>
      </c>
      <c r="H422">
        <v>3</v>
      </c>
      <c r="I422">
        <v>44</v>
      </c>
      <c r="J422">
        <v>81</v>
      </c>
      <c r="K422">
        <v>196</v>
      </c>
      <c r="L422">
        <v>321</v>
      </c>
      <c r="M422">
        <v>2023</v>
      </c>
    </row>
    <row r="423" spans="1:13" x14ac:dyDescent="0.25">
      <c r="A423" t="s">
        <v>460</v>
      </c>
      <c r="B423" t="s">
        <v>20</v>
      </c>
      <c r="C423" s="1">
        <v>39354</v>
      </c>
      <c r="D423" s="8">
        <f ca="1">ROUND(YEARFRAC(NEET[[#This Row],[Date_of_Birth]],TODAY()),0)</f>
        <v>19</v>
      </c>
      <c r="E423" t="s">
        <v>69</v>
      </c>
      <c r="F423" t="s">
        <v>70</v>
      </c>
      <c r="G423" t="s">
        <v>25</v>
      </c>
      <c r="H423">
        <v>4</v>
      </c>
      <c r="I423">
        <v>105</v>
      </c>
      <c r="J423">
        <v>82</v>
      </c>
      <c r="K423">
        <v>337</v>
      </c>
      <c r="L423">
        <v>524</v>
      </c>
      <c r="M423">
        <v>2024</v>
      </c>
    </row>
    <row r="424" spans="1:13" x14ac:dyDescent="0.25">
      <c r="A424" t="s">
        <v>461</v>
      </c>
      <c r="B424" t="s">
        <v>13</v>
      </c>
      <c r="C424" s="1">
        <v>39566</v>
      </c>
      <c r="D424" s="8">
        <f ca="1">ROUND(YEARFRAC(NEET[[#This Row],[Date_of_Birth]],TODAY()),0)</f>
        <v>18</v>
      </c>
      <c r="E424" t="s">
        <v>21</v>
      </c>
      <c r="F424" t="s">
        <v>21</v>
      </c>
      <c r="G424" t="s">
        <v>34</v>
      </c>
      <c r="H424">
        <v>4</v>
      </c>
      <c r="I424">
        <v>173</v>
      </c>
      <c r="J424">
        <v>129</v>
      </c>
      <c r="K424">
        <v>181</v>
      </c>
      <c r="L424">
        <v>483</v>
      </c>
      <c r="M424">
        <v>2026</v>
      </c>
    </row>
    <row r="425" spans="1:13" x14ac:dyDescent="0.25">
      <c r="A425" t="s">
        <v>462</v>
      </c>
      <c r="B425" t="s">
        <v>20</v>
      </c>
      <c r="C425" s="1">
        <v>39754</v>
      </c>
      <c r="D425" s="8">
        <f ca="1">ROUND(YEARFRAC(NEET[[#This Row],[Date_of_Birth]],TODAY()),0)</f>
        <v>18</v>
      </c>
      <c r="E425" t="s">
        <v>21</v>
      </c>
      <c r="F425" t="s">
        <v>21</v>
      </c>
      <c r="G425" t="s">
        <v>16</v>
      </c>
      <c r="H425">
        <v>2</v>
      </c>
      <c r="I425">
        <v>110</v>
      </c>
      <c r="J425">
        <v>171</v>
      </c>
      <c r="K425">
        <v>87</v>
      </c>
      <c r="L425">
        <v>368</v>
      </c>
      <c r="M425">
        <v>2026</v>
      </c>
    </row>
    <row r="426" spans="1:13" x14ac:dyDescent="0.25">
      <c r="A426" t="s">
        <v>463</v>
      </c>
      <c r="B426" t="s">
        <v>13</v>
      </c>
      <c r="C426" s="1">
        <v>37449</v>
      </c>
      <c r="D426" s="8">
        <f ca="1">ROUND(YEARFRAC(NEET[[#This Row],[Date_of_Birth]],TODAY()),0)</f>
        <v>24</v>
      </c>
      <c r="E426" t="s">
        <v>48</v>
      </c>
      <c r="F426" t="s">
        <v>49</v>
      </c>
      <c r="G426" t="s">
        <v>34</v>
      </c>
      <c r="H426">
        <v>3</v>
      </c>
      <c r="I426">
        <v>124</v>
      </c>
      <c r="J426">
        <v>180</v>
      </c>
      <c r="K426">
        <v>339</v>
      </c>
      <c r="L426">
        <v>643</v>
      </c>
      <c r="M426">
        <v>2024</v>
      </c>
    </row>
    <row r="427" spans="1:13" x14ac:dyDescent="0.25">
      <c r="A427" t="s">
        <v>464</v>
      </c>
      <c r="B427" t="s">
        <v>20</v>
      </c>
      <c r="C427" s="1">
        <v>39322</v>
      </c>
      <c r="D427" s="8">
        <f ca="1">ROUND(YEARFRAC(NEET[[#This Row],[Date_of_Birth]],TODAY()),0)</f>
        <v>19</v>
      </c>
      <c r="E427" t="s">
        <v>14</v>
      </c>
      <c r="F427" t="s">
        <v>15</v>
      </c>
      <c r="G427" t="s">
        <v>34</v>
      </c>
      <c r="H427">
        <v>1</v>
      </c>
      <c r="I427">
        <v>77</v>
      </c>
      <c r="J427">
        <v>74</v>
      </c>
      <c r="K427">
        <v>323</v>
      </c>
      <c r="L427">
        <v>474</v>
      </c>
      <c r="M427">
        <v>2025</v>
      </c>
    </row>
    <row r="428" spans="1:13" x14ac:dyDescent="0.25">
      <c r="A428" t="s">
        <v>465</v>
      </c>
      <c r="B428" t="s">
        <v>13</v>
      </c>
      <c r="C428" s="1">
        <v>38805</v>
      </c>
      <c r="D428" s="8">
        <f ca="1">ROUND(YEARFRAC(NEET[[#This Row],[Date_of_Birth]],TODAY()),0)</f>
        <v>20</v>
      </c>
      <c r="E428" t="s">
        <v>24</v>
      </c>
      <c r="F428" t="s">
        <v>15</v>
      </c>
      <c r="G428" t="s">
        <v>34</v>
      </c>
      <c r="H428">
        <v>3</v>
      </c>
      <c r="I428">
        <v>63</v>
      </c>
      <c r="J428">
        <v>71</v>
      </c>
      <c r="K428">
        <v>359</v>
      </c>
      <c r="L428">
        <v>493</v>
      </c>
      <c r="M428">
        <v>2024</v>
      </c>
    </row>
    <row r="429" spans="1:13" x14ac:dyDescent="0.25">
      <c r="A429" t="s">
        <v>466</v>
      </c>
      <c r="B429" t="s">
        <v>20</v>
      </c>
      <c r="C429" s="1">
        <v>36689</v>
      </c>
      <c r="D429" s="8">
        <f ca="1">ROUND(YEARFRAC(NEET[[#This Row],[Date_of_Birth]],TODAY()),0)</f>
        <v>26</v>
      </c>
      <c r="E429" t="s">
        <v>40</v>
      </c>
      <c r="F429" t="s">
        <v>15</v>
      </c>
      <c r="G429" t="s">
        <v>29</v>
      </c>
      <c r="H429">
        <v>1</v>
      </c>
      <c r="I429">
        <v>112</v>
      </c>
      <c r="J429">
        <v>43</v>
      </c>
      <c r="K429">
        <v>214</v>
      </c>
      <c r="L429">
        <v>369</v>
      </c>
      <c r="M429">
        <v>2024</v>
      </c>
    </row>
    <row r="430" spans="1:13" x14ac:dyDescent="0.25">
      <c r="A430" t="s">
        <v>467</v>
      </c>
      <c r="B430" t="s">
        <v>20</v>
      </c>
      <c r="C430" s="1">
        <v>37279</v>
      </c>
      <c r="D430" s="8">
        <f ca="1">ROUND(YEARFRAC(NEET[[#This Row],[Date_of_Birth]],TODAY()),0)</f>
        <v>24</v>
      </c>
      <c r="E430" t="s">
        <v>42</v>
      </c>
      <c r="F430" t="s">
        <v>15</v>
      </c>
      <c r="G430" t="s">
        <v>29</v>
      </c>
      <c r="H430">
        <v>1</v>
      </c>
      <c r="I430">
        <v>47</v>
      </c>
      <c r="J430">
        <v>159</v>
      </c>
      <c r="K430">
        <v>141</v>
      </c>
      <c r="L430">
        <v>347</v>
      </c>
      <c r="M430">
        <v>2024</v>
      </c>
    </row>
    <row r="431" spans="1:13" x14ac:dyDescent="0.25">
      <c r="A431" t="s">
        <v>468</v>
      </c>
      <c r="B431" t="s">
        <v>13</v>
      </c>
      <c r="C431" s="1">
        <v>37399</v>
      </c>
      <c r="D431" s="8">
        <f ca="1">ROUND(YEARFRAC(NEET[[#This Row],[Date_of_Birth]],TODAY()),0)</f>
        <v>24</v>
      </c>
      <c r="E431" t="s">
        <v>21</v>
      </c>
      <c r="F431" t="s">
        <v>21</v>
      </c>
      <c r="G431" t="s">
        <v>16</v>
      </c>
      <c r="H431">
        <v>4</v>
      </c>
      <c r="I431">
        <v>114</v>
      </c>
      <c r="J431">
        <v>114</v>
      </c>
      <c r="K431">
        <v>244</v>
      </c>
      <c r="L431">
        <v>472</v>
      </c>
      <c r="M431">
        <v>2023</v>
      </c>
    </row>
    <row r="432" spans="1:13" x14ac:dyDescent="0.25">
      <c r="A432" t="s">
        <v>469</v>
      </c>
      <c r="B432" t="s">
        <v>13</v>
      </c>
      <c r="C432" s="1">
        <v>36995</v>
      </c>
      <c r="D432" s="8">
        <f ca="1">ROUND(YEARFRAC(NEET[[#This Row],[Date_of_Birth]],TODAY()),0)</f>
        <v>25</v>
      </c>
      <c r="E432" t="s">
        <v>21</v>
      </c>
      <c r="F432" t="s">
        <v>21</v>
      </c>
      <c r="G432" t="s">
        <v>34</v>
      </c>
      <c r="H432">
        <v>3</v>
      </c>
      <c r="I432">
        <v>118</v>
      </c>
      <c r="J432">
        <v>144</v>
      </c>
      <c r="K432">
        <v>183</v>
      </c>
      <c r="L432">
        <v>445</v>
      </c>
      <c r="M432">
        <v>2023</v>
      </c>
    </row>
    <row r="433" spans="1:13" x14ac:dyDescent="0.25">
      <c r="A433" t="s">
        <v>470</v>
      </c>
      <c r="B433" t="s">
        <v>20</v>
      </c>
      <c r="C433" s="1">
        <v>38106</v>
      </c>
      <c r="D433" s="8">
        <f ca="1">ROUND(YEARFRAC(NEET[[#This Row],[Date_of_Birth]],TODAY()),0)</f>
        <v>22</v>
      </c>
      <c r="E433" t="s">
        <v>24</v>
      </c>
      <c r="F433" t="s">
        <v>15</v>
      </c>
      <c r="G433" t="s">
        <v>25</v>
      </c>
      <c r="H433">
        <v>4</v>
      </c>
      <c r="I433">
        <v>168</v>
      </c>
      <c r="J433">
        <v>102</v>
      </c>
      <c r="K433">
        <v>72</v>
      </c>
      <c r="L433">
        <v>342</v>
      </c>
      <c r="M433">
        <v>2025</v>
      </c>
    </row>
    <row r="434" spans="1:13" x14ac:dyDescent="0.25">
      <c r="A434" t="s">
        <v>471</v>
      </c>
      <c r="B434" t="s">
        <v>13</v>
      </c>
      <c r="C434" s="1">
        <v>39194</v>
      </c>
      <c r="D434" s="8">
        <f ca="1">ROUND(YEARFRAC(NEET[[#This Row],[Date_of_Birth]],TODAY()),0)</f>
        <v>19</v>
      </c>
      <c r="E434" t="s">
        <v>62</v>
      </c>
      <c r="F434" t="s">
        <v>15</v>
      </c>
      <c r="G434" t="s">
        <v>25</v>
      </c>
      <c r="H434">
        <v>1</v>
      </c>
      <c r="I434">
        <v>112</v>
      </c>
      <c r="J434">
        <v>161</v>
      </c>
      <c r="K434">
        <v>102</v>
      </c>
      <c r="L434">
        <v>375</v>
      </c>
      <c r="M434">
        <v>2024</v>
      </c>
    </row>
    <row r="435" spans="1:13" x14ac:dyDescent="0.25">
      <c r="A435" t="s">
        <v>472</v>
      </c>
      <c r="B435" t="s">
        <v>20</v>
      </c>
      <c r="C435" s="1">
        <v>39271</v>
      </c>
      <c r="D435" s="8">
        <f ca="1">ROUND(YEARFRAC(NEET[[#This Row],[Date_of_Birth]],TODAY()),0)</f>
        <v>19</v>
      </c>
      <c r="E435" t="s">
        <v>21</v>
      </c>
      <c r="F435" t="s">
        <v>21</v>
      </c>
      <c r="G435" t="s">
        <v>22</v>
      </c>
      <c r="H435">
        <v>1</v>
      </c>
      <c r="I435">
        <v>84</v>
      </c>
      <c r="J435">
        <v>138</v>
      </c>
      <c r="K435">
        <v>113</v>
      </c>
      <c r="L435">
        <v>335</v>
      </c>
      <c r="M435">
        <v>2023</v>
      </c>
    </row>
    <row r="436" spans="1:13" x14ac:dyDescent="0.25">
      <c r="A436" t="s">
        <v>473</v>
      </c>
      <c r="B436" t="s">
        <v>13</v>
      </c>
      <c r="C436" s="1">
        <v>38406</v>
      </c>
      <c r="D436" s="8">
        <f ca="1">ROUND(YEARFRAC(NEET[[#This Row],[Date_of_Birth]],TODAY()),0)</f>
        <v>21</v>
      </c>
      <c r="E436" t="s">
        <v>36</v>
      </c>
      <c r="F436" t="s">
        <v>37</v>
      </c>
      <c r="G436" t="s">
        <v>29</v>
      </c>
      <c r="H436">
        <v>2</v>
      </c>
      <c r="I436">
        <v>114</v>
      </c>
      <c r="J436">
        <v>39</v>
      </c>
      <c r="K436">
        <v>104</v>
      </c>
      <c r="L436">
        <v>257</v>
      </c>
      <c r="M436">
        <v>2023</v>
      </c>
    </row>
    <row r="437" spans="1:13" x14ac:dyDescent="0.25">
      <c r="A437" t="s">
        <v>474</v>
      </c>
      <c r="B437" t="s">
        <v>20</v>
      </c>
      <c r="C437" s="1">
        <v>38881</v>
      </c>
      <c r="D437" s="8">
        <f ca="1">ROUND(YEARFRAC(NEET[[#This Row],[Date_of_Birth]],TODAY()),0)</f>
        <v>20</v>
      </c>
      <c r="E437" t="s">
        <v>31</v>
      </c>
      <c r="F437" t="s">
        <v>32</v>
      </c>
      <c r="G437" t="s">
        <v>34</v>
      </c>
      <c r="H437">
        <v>4</v>
      </c>
      <c r="I437">
        <v>88</v>
      </c>
      <c r="J437">
        <v>96</v>
      </c>
      <c r="K437">
        <v>268</v>
      </c>
      <c r="L437">
        <v>452</v>
      </c>
      <c r="M437">
        <v>2025</v>
      </c>
    </row>
    <row r="438" spans="1:13" x14ac:dyDescent="0.25">
      <c r="A438" t="s">
        <v>475</v>
      </c>
      <c r="B438" t="s">
        <v>13</v>
      </c>
      <c r="C438" s="1">
        <v>36595</v>
      </c>
      <c r="D438" s="8">
        <f ca="1">ROUND(YEARFRAC(NEET[[#This Row],[Date_of_Birth]],TODAY()),0)</f>
        <v>26</v>
      </c>
      <c r="E438" t="s">
        <v>18</v>
      </c>
      <c r="F438" t="s">
        <v>15</v>
      </c>
      <c r="G438" t="s">
        <v>29</v>
      </c>
      <c r="H438">
        <v>1</v>
      </c>
      <c r="I438">
        <v>60</v>
      </c>
      <c r="J438">
        <v>166</v>
      </c>
      <c r="K438">
        <v>63</v>
      </c>
      <c r="L438">
        <v>289</v>
      </c>
      <c r="M438">
        <v>2023</v>
      </c>
    </row>
    <row r="439" spans="1:13" x14ac:dyDescent="0.25">
      <c r="A439" t="s">
        <v>476</v>
      </c>
      <c r="B439" t="s">
        <v>20</v>
      </c>
      <c r="C439" s="1">
        <v>37713</v>
      </c>
      <c r="D439" s="8">
        <f ca="1">ROUND(YEARFRAC(NEET[[#This Row],[Date_of_Birth]],TODAY()),0)</f>
        <v>23</v>
      </c>
      <c r="E439" t="s">
        <v>69</v>
      </c>
      <c r="F439" t="s">
        <v>70</v>
      </c>
      <c r="G439" t="s">
        <v>25</v>
      </c>
      <c r="H439">
        <v>4</v>
      </c>
      <c r="I439">
        <v>107</v>
      </c>
      <c r="J439">
        <v>52</v>
      </c>
      <c r="K439">
        <v>204</v>
      </c>
      <c r="L439">
        <v>363</v>
      </c>
      <c r="M439">
        <v>2026</v>
      </c>
    </row>
    <row r="440" spans="1:13" x14ac:dyDescent="0.25">
      <c r="A440" t="s">
        <v>477</v>
      </c>
      <c r="B440" t="s">
        <v>13</v>
      </c>
      <c r="C440" s="1">
        <v>37166</v>
      </c>
      <c r="D440" s="8">
        <f ca="1">ROUND(YEARFRAC(NEET[[#This Row],[Date_of_Birth]],TODAY()),0)</f>
        <v>25</v>
      </c>
      <c r="E440" t="s">
        <v>42</v>
      </c>
      <c r="F440" t="s">
        <v>15</v>
      </c>
      <c r="G440" t="s">
        <v>29</v>
      </c>
      <c r="H440">
        <v>3</v>
      </c>
      <c r="I440">
        <v>86</v>
      </c>
      <c r="J440">
        <v>64</v>
      </c>
      <c r="K440">
        <v>260</v>
      </c>
      <c r="L440">
        <v>410</v>
      </c>
      <c r="M440">
        <v>2023</v>
      </c>
    </row>
    <row r="441" spans="1:13" x14ac:dyDescent="0.25">
      <c r="A441" t="s">
        <v>478</v>
      </c>
      <c r="B441" t="s">
        <v>13</v>
      </c>
      <c r="C441" s="1">
        <v>38793</v>
      </c>
      <c r="D441" s="8">
        <f ca="1">ROUND(YEARFRAC(NEET[[#This Row],[Date_of_Birth]],TODAY()),0)</f>
        <v>20</v>
      </c>
      <c r="E441" t="s">
        <v>31</v>
      </c>
      <c r="F441" t="s">
        <v>32</v>
      </c>
      <c r="G441" t="s">
        <v>16</v>
      </c>
      <c r="H441">
        <v>4</v>
      </c>
      <c r="I441">
        <v>172</v>
      </c>
      <c r="J441">
        <v>66</v>
      </c>
      <c r="K441">
        <v>123</v>
      </c>
      <c r="L441">
        <v>361</v>
      </c>
      <c r="M441">
        <v>2023</v>
      </c>
    </row>
    <row r="442" spans="1:13" x14ac:dyDescent="0.25">
      <c r="A442" t="s">
        <v>479</v>
      </c>
      <c r="B442" t="s">
        <v>13</v>
      </c>
      <c r="C442" s="1">
        <v>37774</v>
      </c>
      <c r="D442" s="8">
        <f ca="1">ROUND(YEARFRAC(NEET[[#This Row],[Date_of_Birth]],TODAY()),0)</f>
        <v>23</v>
      </c>
      <c r="E442" t="s">
        <v>62</v>
      </c>
      <c r="F442" t="s">
        <v>15</v>
      </c>
      <c r="G442" t="s">
        <v>22</v>
      </c>
      <c r="H442">
        <v>2</v>
      </c>
      <c r="I442">
        <v>118</v>
      </c>
      <c r="J442">
        <v>84</v>
      </c>
      <c r="K442">
        <v>271</v>
      </c>
      <c r="L442">
        <v>473</v>
      </c>
      <c r="M442">
        <v>2025</v>
      </c>
    </row>
    <row r="443" spans="1:13" x14ac:dyDescent="0.25">
      <c r="A443" t="s">
        <v>480</v>
      </c>
      <c r="B443" t="s">
        <v>13</v>
      </c>
      <c r="C443" s="1">
        <v>37321</v>
      </c>
      <c r="D443" s="8">
        <f ca="1">ROUND(YEARFRAC(NEET[[#This Row],[Date_of_Birth]],TODAY()),0)</f>
        <v>24</v>
      </c>
      <c r="E443" t="s">
        <v>14</v>
      </c>
      <c r="F443" t="s">
        <v>15</v>
      </c>
      <c r="G443" t="s">
        <v>25</v>
      </c>
      <c r="H443">
        <v>3</v>
      </c>
      <c r="I443">
        <v>76</v>
      </c>
      <c r="J443">
        <v>175</v>
      </c>
      <c r="K443">
        <v>87</v>
      </c>
      <c r="L443">
        <v>338</v>
      </c>
      <c r="M443">
        <v>2025</v>
      </c>
    </row>
    <row r="444" spans="1:13" x14ac:dyDescent="0.25">
      <c r="A444" t="s">
        <v>481</v>
      </c>
      <c r="B444" t="s">
        <v>13</v>
      </c>
      <c r="C444" s="1">
        <v>36928</v>
      </c>
      <c r="D444" s="8">
        <f ca="1">ROUND(YEARFRAC(NEET[[#This Row],[Date_of_Birth]],TODAY()),0)</f>
        <v>25</v>
      </c>
      <c r="E444" t="s">
        <v>62</v>
      </c>
      <c r="F444" t="s">
        <v>15</v>
      </c>
      <c r="G444" t="s">
        <v>25</v>
      </c>
      <c r="H444">
        <v>2</v>
      </c>
      <c r="I444">
        <v>178</v>
      </c>
      <c r="J444">
        <v>154</v>
      </c>
      <c r="K444">
        <v>229</v>
      </c>
      <c r="L444">
        <v>561</v>
      </c>
      <c r="M444">
        <v>2025</v>
      </c>
    </row>
    <row r="445" spans="1:13" x14ac:dyDescent="0.25">
      <c r="A445" t="s">
        <v>482</v>
      </c>
      <c r="B445" t="s">
        <v>20</v>
      </c>
      <c r="C445" s="1">
        <v>39063</v>
      </c>
      <c r="D445" s="8">
        <f ca="1">ROUND(YEARFRAC(NEET[[#This Row],[Date_of_Birth]],TODAY()),0)</f>
        <v>19</v>
      </c>
      <c r="E445" t="s">
        <v>14</v>
      </c>
      <c r="F445" t="s">
        <v>15</v>
      </c>
      <c r="G445" t="s">
        <v>16</v>
      </c>
      <c r="H445">
        <v>3</v>
      </c>
      <c r="I445">
        <v>79</v>
      </c>
      <c r="J445">
        <v>111</v>
      </c>
      <c r="K445">
        <v>308</v>
      </c>
      <c r="L445">
        <v>498</v>
      </c>
      <c r="M445">
        <v>2024</v>
      </c>
    </row>
    <row r="446" spans="1:13" x14ac:dyDescent="0.25">
      <c r="A446" t="s">
        <v>483</v>
      </c>
      <c r="B446" t="s">
        <v>13</v>
      </c>
      <c r="C446" s="1">
        <v>38842</v>
      </c>
      <c r="D446" s="8">
        <f ca="1">ROUND(YEARFRAC(NEET[[#This Row],[Date_of_Birth]],TODAY()),0)</f>
        <v>20</v>
      </c>
      <c r="E446" t="s">
        <v>27</v>
      </c>
      <c r="F446" t="s">
        <v>15</v>
      </c>
      <c r="G446" t="s">
        <v>22</v>
      </c>
      <c r="H446">
        <v>3</v>
      </c>
      <c r="I446">
        <v>123</v>
      </c>
      <c r="J446">
        <v>110</v>
      </c>
      <c r="K446">
        <v>279</v>
      </c>
      <c r="L446">
        <v>512</v>
      </c>
      <c r="M446">
        <v>2024</v>
      </c>
    </row>
    <row r="447" spans="1:13" x14ac:dyDescent="0.25">
      <c r="A447" t="s">
        <v>484</v>
      </c>
      <c r="B447" t="s">
        <v>20</v>
      </c>
      <c r="C447" s="1">
        <v>39443</v>
      </c>
      <c r="D447" s="8">
        <f ca="1">ROUND(YEARFRAC(NEET[[#This Row],[Date_of_Birth]],TODAY()),0)</f>
        <v>18</v>
      </c>
      <c r="E447" t="s">
        <v>36</v>
      </c>
      <c r="F447" t="s">
        <v>37</v>
      </c>
      <c r="G447" t="s">
        <v>34</v>
      </c>
      <c r="H447">
        <v>4</v>
      </c>
      <c r="I447">
        <v>141</v>
      </c>
      <c r="J447">
        <v>100</v>
      </c>
      <c r="K447">
        <v>244</v>
      </c>
      <c r="L447">
        <v>485</v>
      </c>
      <c r="M447">
        <v>2026</v>
      </c>
    </row>
    <row r="448" spans="1:13" x14ac:dyDescent="0.25">
      <c r="A448" t="s">
        <v>485</v>
      </c>
      <c r="B448" t="s">
        <v>13</v>
      </c>
      <c r="C448" s="1">
        <v>37995</v>
      </c>
      <c r="D448" s="8">
        <f ca="1">ROUND(YEARFRAC(NEET[[#This Row],[Date_of_Birth]],TODAY()),0)</f>
        <v>22</v>
      </c>
      <c r="E448" t="s">
        <v>69</v>
      </c>
      <c r="F448" t="s">
        <v>70</v>
      </c>
      <c r="G448" t="s">
        <v>29</v>
      </c>
      <c r="H448">
        <v>1</v>
      </c>
      <c r="I448">
        <v>108</v>
      </c>
      <c r="J448">
        <v>154</v>
      </c>
      <c r="K448">
        <v>342</v>
      </c>
      <c r="L448">
        <v>604</v>
      </c>
      <c r="M448">
        <v>2024</v>
      </c>
    </row>
    <row r="449" spans="1:13" x14ac:dyDescent="0.25">
      <c r="A449" t="s">
        <v>486</v>
      </c>
      <c r="B449" t="s">
        <v>13</v>
      </c>
      <c r="C449" s="1">
        <v>38732</v>
      </c>
      <c r="D449" s="8">
        <f ca="1">ROUND(YEARFRAC(NEET[[#This Row],[Date_of_Birth]],TODAY()),0)</f>
        <v>20</v>
      </c>
      <c r="E449" t="s">
        <v>62</v>
      </c>
      <c r="F449" t="s">
        <v>15</v>
      </c>
      <c r="G449" t="s">
        <v>16</v>
      </c>
      <c r="H449">
        <v>4</v>
      </c>
      <c r="I449">
        <v>97</v>
      </c>
      <c r="J449">
        <v>49</v>
      </c>
      <c r="K449">
        <v>98</v>
      </c>
      <c r="L449">
        <v>244</v>
      </c>
      <c r="M449">
        <v>2024</v>
      </c>
    </row>
    <row r="450" spans="1:13" x14ac:dyDescent="0.25">
      <c r="A450" t="s">
        <v>487</v>
      </c>
      <c r="B450" t="s">
        <v>13</v>
      </c>
      <c r="C450" s="1">
        <v>36676</v>
      </c>
      <c r="D450" s="8">
        <f ca="1">ROUND(YEARFRAC(NEET[[#This Row],[Date_of_Birth]],TODAY()),0)</f>
        <v>26</v>
      </c>
      <c r="E450" t="s">
        <v>42</v>
      </c>
      <c r="F450" t="s">
        <v>15</v>
      </c>
      <c r="G450" t="s">
        <v>34</v>
      </c>
      <c r="H450">
        <v>3</v>
      </c>
      <c r="I450">
        <v>96</v>
      </c>
      <c r="J450">
        <v>169</v>
      </c>
      <c r="K450">
        <v>336</v>
      </c>
      <c r="L450">
        <v>601</v>
      </c>
      <c r="M450">
        <v>2024</v>
      </c>
    </row>
    <row r="451" spans="1:13" x14ac:dyDescent="0.25">
      <c r="A451" t="s">
        <v>488</v>
      </c>
      <c r="B451" t="s">
        <v>20</v>
      </c>
      <c r="C451" s="1">
        <v>39688</v>
      </c>
      <c r="D451" s="8">
        <f ca="1">ROUND(YEARFRAC(NEET[[#This Row],[Date_of_Birth]],TODAY()),0)</f>
        <v>18</v>
      </c>
      <c r="E451" t="s">
        <v>27</v>
      </c>
      <c r="F451" t="s">
        <v>15</v>
      </c>
      <c r="G451" t="s">
        <v>16</v>
      </c>
      <c r="H451">
        <v>3</v>
      </c>
      <c r="I451">
        <v>104</v>
      </c>
      <c r="J451">
        <v>64</v>
      </c>
      <c r="K451">
        <v>297</v>
      </c>
      <c r="L451">
        <v>465</v>
      </c>
      <c r="M451">
        <v>2023</v>
      </c>
    </row>
    <row r="452" spans="1:13" x14ac:dyDescent="0.25">
      <c r="A452" t="s">
        <v>489</v>
      </c>
      <c r="B452" t="s">
        <v>13</v>
      </c>
      <c r="C452" s="1">
        <v>39240</v>
      </c>
      <c r="D452" s="8">
        <f ca="1">ROUND(YEARFRAC(NEET[[#This Row],[Date_of_Birth]],TODAY()),0)</f>
        <v>19</v>
      </c>
      <c r="E452" t="s">
        <v>62</v>
      </c>
      <c r="F452" t="s">
        <v>15</v>
      </c>
      <c r="G452" t="s">
        <v>16</v>
      </c>
      <c r="H452">
        <v>2</v>
      </c>
      <c r="I452">
        <v>72</v>
      </c>
      <c r="J452">
        <v>161</v>
      </c>
      <c r="K452">
        <v>131</v>
      </c>
      <c r="L452">
        <v>364</v>
      </c>
      <c r="M452">
        <v>2024</v>
      </c>
    </row>
    <row r="453" spans="1:13" x14ac:dyDescent="0.25">
      <c r="A453" t="s">
        <v>490</v>
      </c>
      <c r="B453" t="s">
        <v>20</v>
      </c>
      <c r="C453" s="1">
        <v>39540</v>
      </c>
      <c r="D453" s="8">
        <f ca="1">ROUND(YEARFRAC(NEET[[#This Row],[Date_of_Birth]],TODAY()),0)</f>
        <v>18</v>
      </c>
      <c r="E453" t="s">
        <v>36</v>
      </c>
      <c r="F453" t="s">
        <v>37</v>
      </c>
      <c r="G453" t="s">
        <v>25</v>
      </c>
      <c r="H453">
        <v>2</v>
      </c>
      <c r="I453">
        <v>153</v>
      </c>
      <c r="J453">
        <v>121</v>
      </c>
      <c r="K453">
        <v>80</v>
      </c>
      <c r="L453">
        <v>354</v>
      </c>
      <c r="M453">
        <v>2025</v>
      </c>
    </row>
    <row r="454" spans="1:13" x14ac:dyDescent="0.25">
      <c r="A454" t="s">
        <v>491</v>
      </c>
      <c r="B454" t="s">
        <v>20</v>
      </c>
      <c r="C454" s="1">
        <v>38039</v>
      </c>
      <c r="D454" s="8">
        <f ca="1">ROUND(YEARFRAC(NEET[[#This Row],[Date_of_Birth]],TODAY()),0)</f>
        <v>22</v>
      </c>
      <c r="E454" t="s">
        <v>62</v>
      </c>
      <c r="F454" t="s">
        <v>15</v>
      </c>
      <c r="G454" t="s">
        <v>34</v>
      </c>
      <c r="H454">
        <v>4</v>
      </c>
      <c r="I454">
        <v>40</v>
      </c>
      <c r="J454">
        <v>82</v>
      </c>
      <c r="K454">
        <v>325</v>
      </c>
      <c r="L454">
        <v>447</v>
      </c>
      <c r="M454">
        <v>2023</v>
      </c>
    </row>
    <row r="455" spans="1:13" x14ac:dyDescent="0.25">
      <c r="A455" t="s">
        <v>492</v>
      </c>
      <c r="B455" t="s">
        <v>20</v>
      </c>
      <c r="C455" s="1">
        <v>36689</v>
      </c>
      <c r="D455" s="8">
        <f ca="1">ROUND(YEARFRAC(NEET[[#This Row],[Date_of_Birth]],TODAY()),0)</f>
        <v>26</v>
      </c>
      <c r="E455" t="s">
        <v>21</v>
      </c>
      <c r="F455" t="s">
        <v>21</v>
      </c>
      <c r="G455" t="s">
        <v>34</v>
      </c>
      <c r="H455">
        <v>2</v>
      </c>
      <c r="I455">
        <v>112</v>
      </c>
      <c r="J455">
        <v>56</v>
      </c>
      <c r="K455">
        <v>326</v>
      </c>
      <c r="L455">
        <v>494</v>
      </c>
      <c r="M455">
        <v>2026</v>
      </c>
    </row>
    <row r="456" spans="1:13" x14ac:dyDescent="0.25">
      <c r="A456" t="s">
        <v>493</v>
      </c>
      <c r="B456" t="s">
        <v>13</v>
      </c>
      <c r="C456" s="1">
        <v>38022</v>
      </c>
      <c r="D456" s="8">
        <f ca="1">ROUND(YEARFRAC(NEET[[#This Row],[Date_of_Birth]],TODAY()),0)</f>
        <v>22</v>
      </c>
      <c r="E456" t="s">
        <v>27</v>
      </c>
      <c r="F456" t="s">
        <v>15</v>
      </c>
      <c r="G456" t="s">
        <v>29</v>
      </c>
      <c r="H456">
        <v>4</v>
      </c>
      <c r="I456">
        <v>49</v>
      </c>
      <c r="J456">
        <v>162</v>
      </c>
      <c r="K456">
        <v>188</v>
      </c>
      <c r="L456">
        <v>399</v>
      </c>
      <c r="M456">
        <v>2025</v>
      </c>
    </row>
    <row r="457" spans="1:13" x14ac:dyDescent="0.25">
      <c r="A457" t="s">
        <v>494</v>
      </c>
      <c r="B457" t="s">
        <v>20</v>
      </c>
      <c r="C457" s="1">
        <v>38520</v>
      </c>
      <c r="D457" s="8">
        <f ca="1">ROUND(YEARFRAC(NEET[[#This Row],[Date_of_Birth]],TODAY()),0)</f>
        <v>21</v>
      </c>
      <c r="E457" t="s">
        <v>69</v>
      </c>
      <c r="F457" t="s">
        <v>70</v>
      </c>
      <c r="G457" t="s">
        <v>22</v>
      </c>
      <c r="H457">
        <v>2</v>
      </c>
      <c r="I457">
        <v>153</v>
      </c>
      <c r="J457">
        <v>31</v>
      </c>
      <c r="K457">
        <v>316</v>
      </c>
      <c r="L457">
        <v>500</v>
      </c>
      <c r="M457">
        <v>2023</v>
      </c>
    </row>
    <row r="458" spans="1:13" x14ac:dyDescent="0.25">
      <c r="A458" t="s">
        <v>495</v>
      </c>
      <c r="B458" t="s">
        <v>13</v>
      </c>
      <c r="C458" s="1">
        <v>38633</v>
      </c>
      <c r="D458" s="8">
        <f ca="1">ROUND(YEARFRAC(NEET[[#This Row],[Date_of_Birth]],TODAY()),0)</f>
        <v>21</v>
      </c>
      <c r="E458" t="s">
        <v>21</v>
      </c>
      <c r="F458" t="s">
        <v>21</v>
      </c>
      <c r="G458" t="s">
        <v>16</v>
      </c>
      <c r="H458">
        <v>3</v>
      </c>
      <c r="I458">
        <v>101</v>
      </c>
      <c r="J458">
        <v>84</v>
      </c>
      <c r="K458">
        <v>136</v>
      </c>
      <c r="L458">
        <v>321</v>
      </c>
      <c r="M458">
        <v>2023</v>
      </c>
    </row>
    <row r="459" spans="1:13" x14ac:dyDescent="0.25">
      <c r="A459" t="s">
        <v>496</v>
      </c>
      <c r="B459" t="s">
        <v>20</v>
      </c>
      <c r="C459" s="1">
        <v>39233</v>
      </c>
      <c r="D459" s="8">
        <f ca="1">ROUND(YEARFRAC(NEET[[#This Row],[Date_of_Birth]],TODAY()),0)</f>
        <v>19</v>
      </c>
      <c r="E459" t="s">
        <v>62</v>
      </c>
      <c r="F459" t="s">
        <v>15</v>
      </c>
      <c r="G459" t="s">
        <v>22</v>
      </c>
      <c r="H459">
        <v>4</v>
      </c>
      <c r="I459">
        <v>136</v>
      </c>
      <c r="J459">
        <v>114</v>
      </c>
      <c r="K459">
        <v>118</v>
      </c>
      <c r="L459">
        <v>368</v>
      </c>
      <c r="M459">
        <v>2024</v>
      </c>
    </row>
    <row r="460" spans="1:13" x14ac:dyDescent="0.25">
      <c r="A460" t="s">
        <v>497</v>
      </c>
      <c r="B460" t="s">
        <v>13</v>
      </c>
      <c r="C460" s="1">
        <v>39177</v>
      </c>
      <c r="D460" s="8">
        <f ca="1">ROUND(YEARFRAC(NEET[[#This Row],[Date_of_Birth]],TODAY()),0)</f>
        <v>19</v>
      </c>
      <c r="E460" t="s">
        <v>31</v>
      </c>
      <c r="F460" t="s">
        <v>32</v>
      </c>
      <c r="G460" t="s">
        <v>22</v>
      </c>
      <c r="H460">
        <v>2</v>
      </c>
      <c r="I460">
        <v>135</v>
      </c>
      <c r="J460">
        <v>35</v>
      </c>
      <c r="K460">
        <v>184</v>
      </c>
      <c r="L460">
        <v>354</v>
      </c>
      <c r="M460">
        <v>2023</v>
      </c>
    </row>
    <row r="461" spans="1:13" x14ac:dyDescent="0.25">
      <c r="A461" t="s">
        <v>498</v>
      </c>
      <c r="B461" t="s">
        <v>20</v>
      </c>
      <c r="C461" s="1">
        <v>38870</v>
      </c>
      <c r="D461" s="8">
        <f ca="1">ROUND(YEARFRAC(NEET[[#This Row],[Date_of_Birth]],TODAY()),0)</f>
        <v>20</v>
      </c>
      <c r="E461" t="s">
        <v>40</v>
      </c>
      <c r="F461" t="s">
        <v>15</v>
      </c>
      <c r="G461" t="s">
        <v>29</v>
      </c>
      <c r="H461">
        <v>1</v>
      </c>
      <c r="I461">
        <v>44</v>
      </c>
      <c r="J461">
        <v>72</v>
      </c>
      <c r="K461">
        <v>192</v>
      </c>
      <c r="L461">
        <v>308</v>
      </c>
      <c r="M461">
        <v>2023</v>
      </c>
    </row>
    <row r="462" spans="1:13" x14ac:dyDescent="0.25">
      <c r="A462" t="s">
        <v>499</v>
      </c>
      <c r="B462" t="s">
        <v>20</v>
      </c>
      <c r="C462" s="1">
        <v>37413</v>
      </c>
      <c r="D462" s="8">
        <f ca="1">ROUND(YEARFRAC(NEET[[#This Row],[Date_of_Birth]],TODAY()),0)</f>
        <v>24</v>
      </c>
      <c r="E462" t="s">
        <v>73</v>
      </c>
      <c r="F462" t="s">
        <v>15</v>
      </c>
      <c r="G462" t="s">
        <v>16</v>
      </c>
      <c r="H462">
        <v>2</v>
      </c>
      <c r="I462">
        <v>150</v>
      </c>
      <c r="J462">
        <v>153</v>
      </c>
      <c r="K462">
        <v>147</v>
      </c>
      <c r="L462">
        <v>450</v>
      </c>
      <c r="M462">
        <v>2024</v>
      </c>
    </row>
    <row r="463" spans="1:13" x14ac:dyDescent="0.25">
      <c r="A463" t="s">
        <v>500</v>
      </c>
      <c r="B463" t="s">
        <v>20</v>
      </c>
      <c r="C463" s="1">
        <v>39078</v>
      </c>
      <c r="D463" s="8">
        <f ca="1">ROUND(YEARFRAC(NEET[[#This Row],[Date_of_Birth]],TODAY()),0)</f>
        <v>19</v>
      </c>
      <c r="E463" t="s">
        <v>21</v>
      </c>
      <c r="F463" t="s">
        <v>21</v>
      </c>
      <c r="G463" t="s">
        <v>22</v>
      </c>
      <c r="H463">
        <v>1</v>
      </c>
      <c r="I463">
        <v>160</v>
      </c>
      <c r="J463">
        <v>97</v>
      </c>
      <c r="K463">
        <v>145</v>
      </c>
      <c r="L463">
        <v>402</v>
      </c>
      <c r="M463">
        <v>2026</v>
      </c>
    </row>
    <row r="464" spans="1:13" x14ac:dyDescent="0.25">
      <c r="A464" t="s">
        <v>501</v>
      </c>
      <c r="B464" t="s">
        <v>13</v>
      </c>
      <c r="C464" s="1">
        <v>38104</v>
      </c>
      <c r="D464" s="8">
        <f ca="1">ROUND(YEARFRAC(NEET[[#This Row],[Date_of_Birth]],TODAY()),0)</f>
        <v>22</v>
      </c>
      <c r="E464" t="s">
        <v>40</v>
      </c>
      <c r="F464" t="s">
        <v>15</v>
      </c>
      <c r="G464" t="s">
        <v>22</v>
      </c>
      <c r="H464">
        <v>1</v>
      </c>
      <c r="I464">
        <v>57</v>
      </c>
      <c r="J464">
        <v>34</v>
      </c>
      <c r="K464">
        <v>163</v>
      </c>
      <c r="L464">
        <v>254</v>
      </c>
      <c r="M464">
        <v>2026</v>
      </c>
    </row>
    <row r="465" spans="1:13" x14ac:dyDescent="0.25">
      <c r="A465" t="s">
        <v>502</v>
      </c>
      <c r="B465" t="s">
        <v>13</v>
      </c>
      <c r="C465" s="1">
        <v>39044</v>
      </c>
      <c r="D465" s="8">
        <f ca="1">ROUND(YEARFRAC(NEET[[#This Row],[Date_of_Birth]],TODAY()),0)</f>
        <v>19</v>
      </c>
      <c r="E465" t="s">
        <v>27</v>
      </c>
      <c r="F465" t="s">
        <v>15</v>
      </c>
      <c r="G465" t="s">
        <v>22</v>
      </c>
      <c r="H465">
        <v>4</v>
      </c>
      <c r="I465">
        <v>39</v>
      </c>
      <c r="J465">
        <v>166</v>
      </c>
      <c r="K465">
        <v>317</v>
      </c>
      <c r="L465">
        <v>522</v>
      </c>
      <c r="M465">
        <v>2023</v>
      </c>
    </row>
    <row r="466" spans="1:13" x14ac:dyDescent="0.25">
      <c r="A466" t="s">
        <v>503</v>
      </c>
      <c r="B466" t="s">
        <v>13</v>
      </c>
      <c r="C466" s="1">
        <v>39699</v>
      </c>
      <c r="D466" s="8">
        <f ca="1">ROUND(YEARFRAC(NEET[[#This Row],[Date_of_Birth]],TODAY()),0)</f>
        <v>18</v>
      </c>
      <c r="E466" t="s">
        <v>21</v>
      </c>
      <c r="F466" t="s">
        <v>21</v>
      </c>
      <c r="G466" t="s">
        <v>22</v>
      </c>
      <c r="H466">
        <v>4</v>
      </c>
      <c r="I466">
        <v>140</v>
      </c>
      <c r="J466">
        <v>163</v>
      </c>
      <c r="K466">
        <v>275</v>
      </c>
      <c r="L466">
        <v>578</v>
      </c>
      <c r="M466">
        <v>2026</v>
      </c>
    </row>
    <row r="467" spans="1:13" x14ac:dyDescent="0.25">
      <c r="A467" t="s">
        <v>504</v>
      </c>
      <c r="B467" t="s">
        <v>20</v>
      </c>
      <c r="C467" s="1">
        <v>39760</v>
      </c>
      <c r="D467" s="8">
        <f ca="1">ROUND(YEARFRAC(NEET[[#This Row],[Date_of_Birth]],TODAY()),0)</f>
        <v>18</v>
      </c>
      <c r="E467" t="s">
        <v>69</v>
      </c>
      <c r="F467" t="s">
        <v>70</v>
      </c>
      <c r="G467" t="s">
        <v>29</v>
      </c>
      <c r="H467">
        <v>2</v>
      </c>
      <c r="I467">
        <v>127</v>
      </c>
      <c r="J467">
        <v>119</v>
      </c>
      <c r="K467">
        <v>354</v>
      </c>
      <c r="L467">
        <v>600</v>
      </c>
      <c r="M467">
        <v>2026</v>
      </c>
    </row>
    <row r="468" spans="1:13" x14ac:dyDescent="0.25">
      <c r="A468" t="s">
        <v>505</v>
      </c>
      <c r="B468" t="s">
        <v>20</v>
      </c>
      <c r="C468" s="1">
        <v>39662</v>
      </c>
      <c r="D468" s="8">
        <f ca="1">ROUND(YEARFRAC(NEET[[#This Row],[Date_of_Birth]],TODAY()),0)</f>
        <v>18</v>
      </c>
      <c r="E468" t="s">
        <v>62</v>
      </c>
      <c r="F468" t="s">
        <v>15</v>
      </c>
      <c r="G468" t="s">
        <v>25</v>
      </c>
      <c r="H468">
        <v>2</v>
      </c>
      <c r="I468">
        <v>51</v>
      </c>
      <c r="J468">
        <v>102</v>
      </c>
      <c r="K468">
        <v>338</v>
      </c>
      <c r="L468">
        <v>491</v>
      </c>
      <c r="M468">
        <v>2023</v>
      </c>
    </row>
    <row r="469" spans="1:13" x14ac:dyDescent="0.25">
      <c r="A469" t="s">
        <v>506</v>
      </c>
      <c r="B469" t="s">
        <v>13</v>
      </c>
      <c r="C469" s="1">
        <v>38893</v>
      </c>
      <c r="D469" s="8">
        <f ca="1">ROUND(YEARFRAC(NEET[[#This Row],[Date_of_Birth]],TODAY()),0)</f>
        <v>20</v>
      </c>
      <c r="E469" t="s">
        <v>42</v>
      </c>
      <c r="F469" t="s">
        <v>15</v>
      </c>
      <c r="G469" t="s">
        <v>34</v>
      </c>
      <c r="H469">
        <v>3</v>
      </c>
      <c r="I469">
        <v>60</v>
      </c>
      <c r="J469">
        <v>163</v>
      </c>
      <c r="K469">
        <v>63</v>
      </c>
      <c r="L469">
        <v>286</v>
      </c>
      <c r="M469">
        <v>2025</v>
      </c>
    </row>
    <row r="470" spans="1:13" x14ac:dyDescent="0.25">
      <c r="A470" t="s">
        <v>507</v>
      </c>
      <c r="B470" t="s">
        <v>20</v>
      </c>
      <c r="C470" s="1">
        <v>36962</v>
      </c>
      <c r="D470" s="8">
        <f ca="1">ROUND(YEARFRAC(NEET[[#This Row],[Date_of_Birth]],TODAY()),0)</f>
        <v>25</v>
      </c>
      <c r="E470" t="s">
        <v>40</v>
      </c>
      <c r="F470" t="s">
        <v>15</v>
      </c>
      <c r="G470" t="s">
        <v>16</v>
      </c>
      <c r="H470">
        <v>3</v>
      </c>
      <c r="I470">
        <v>139</v>
      </c>
      <c r="J470">
        <v>179</v>
      </c>
      <c r="K470">
        <v>189</v>
      </c>
      <c r="L470">
        <v>507</v>
      </c>
      <c r="M470">
        <v>2025</v>
      </c>
    </row>
    <row r="471" spans="1:13" x14ac:dyDescent="0.25">
      <c r="A471" t="s">
        <v>508</v>
      </c>
      <c r="B471" t="s">
        <v>13</v>
      </c>
      <c r="C471" s="1">
        <v>39313</v>
      </c>
      <c r="D471" s="8">
        <f ca="1">ROUND(YEARFRAC(NEET[[#This Row],[Date_of_Birth]],TODAY()),0)</f>
        <v>19</v>
      </c>
      <c r="E471" t="s">
        <v>18</v>
      </c>
      <c r="F471" t="s">
        <v>15</v>
      </c>
      <c r="G471" t="s">
        <v>16</v>
      </c>
      <c r="H471">
        <v>3</v>
      </c>
      <c r="I471">
        <v>82</v>
      </c>
      <c r="J471">
        <v>135</v>
      </c>
      <c r="K471">
        <v>342</v>
      </c>
      <c r="L471">
        <v>559</v>
      </c>
      <c r="M471">
        <v>2026</v>
      </c>
    </row>
    <row r="472" spans="1:13" x14ac:dyDescent="0.25">
      <c r="A472" t="s">
        <v>509</v>
      </c>
      <c r="B472" t="s">
        <v>13</v>
      </c>
      <c r="C472" s="1">
        <v>37565</v>
      </c>
      <c r="D472" s="8">
        <f ca="1">ROUND(YEARFRAC(NEET[[#This Row],[Date_of_Birth]],TODAY()),0)</f>
        <v>24</v>
      </c>
      <c r="E472" t="s">
        <v>24</v>
      </c>
      <c r="F472" t="s">
        <v>15</v>
      </c>
      <c r="G472" t="s">
        <v>34</v>
      </c>
      <c r="H472">
        <v>2</v>
      </c>
      <c r="I472">
        <v>177</v>
      </c>
      <c r="J472">
        <v>118</v>
      </c>
      <c r="K472">
        <v>263</v>
      </c>
      <c r="L472">
        <v>558</v>
      </c>
      <c r="M472">
        <v>2024</v>
      </c>
    </row>
    <row r="473" spans="1:13" x14ac:dyDescent="0.25">
      <c r="A473" t="s">
        <v>510</v>
      </c>
      <c r="B473" t="s">
        <v>13</v>
      </c>
      <c r="C473" s="1">
        <v>36936</v>
      </c>
      <c r="D473" s="8">
        <f ca="1">ROUND(YEARFRAC(NEET[[#This Row],[Date_of_Birth]],TODAY()),0)</f>
        <v>25</v>
      </c>
      <c r="E473" t="s">
        <v>62</v>
      </c>
      <c r="F473" t="s">
        <v>15</v>
      </c>
      <c r="G473" t="s">
        <v>25</v>
      </c>
      <c r="H473">
        <v>4</v>
      </c>
      <c r="I473">
        <v>160</v>
      </c>
      <c r="J473">
        <v>132</v>
      </c>
      <c r="K473">
        <v>233</v>
      </c>
      <c r="L473">
        <v>525</v>
      </c>
      <c r="M473">
        <v>2023</v>
      </c>
    </row>
    <row r="474" spans="1:13" x14ac:dyDescent="0.25">
      <c r="A474" t="s">
        <v>511</v>
      </c>
      <c r="B474" t="s">
        <v>13</v>
      </c>
      <c r="C474" s="1">
        <v>37121</v>
      </c>
      <c r="D474" s="8">
        <f ca="1">ROUND(YEARFRAC(NEET[[#This Row],[Date_of_Birth]],TODAY()),0)</f>
        <v>25</v>
      </c>
      <c r="E474" t="s">
        <v>73</v>
      </c>
      <c r="F474" t="s">
        <v>15</v>
      </c>
      <c r="G474" t="s">
        <v>25</v>
      </c>
      <c r="H474">
        <v>3</v>
      </c>
      <c r="I474">
        <v>141</v>
      </c>
      <c r="J474">
        <v>52</v>
      </c>
      <c r="K474">
        <v>92</v>
      </c>
      <c r="L474">
        <v>285</v>
      </c>
      <c r="M474">
        <v>2023</v>
      </c>
    </row>
    <row r="475" spans="1:13" x14ac:dyDescent="0.25">
      <c r="A475" t="s">
        <v>512</v>
      </c>
      <c r="B475" t="s">
        <v>13</v>
      </c>
      <c r="C475" s="1">
        <v>39493</v>
      </c>
      <c r="D475" s="8">
        <f ca="1">ROUND(YEARFRAC(NEET[[#This Row],[Date_of_Birth]],TODAY()),0)</f>
        <v>18</v>
      </c>
      <c r="E475" t="s">
        <v>18</v>
      </c>
      <c r="F475" t="s">
        <v>15</v>
      </c>
      <c r="G475" t="s">
        <v>34</v>
      </c>
      <c r="H475">
        <v>4</v>
      </c>
      <c r="I475">
        <v>132</v>
      </c>
      <c r="J475">
        <v>163</v>
      </c>
      <c r="K475">
        <v>206</v>
      </c>
      <c r="L475">
        <v>501</v>
      </c>
      <c r="M475">
        <v>2023</v>
      </c>
    </row>
    <row r="476" spans="1:13" x14ac:dyDescent="0.25">
      <c r="A476" t="s">
        <v>513</v>
      </c>
      <c r="B476" t="s">
        <v>13</v>
      </c>
      <c r="C476" s="1">
        <v>37352</v>
      </c>
      <c r="D476" s="8">
        <f ca="1">ROUND(YEARFRAC(NEET[[#This Row],[Date_of_Birth]],TODAY()),0)</f>
        <v>24</v>
      </c>
      <c r="E476" t="s">
        <v>31</v>
      </c>
      <c r="F476" t="s">
        <v>32</v>
      </c>
      <c r="G476" t="s">
        <v>25</v>
      </c>
      <c r="H476">
        <v>2</v>
      </c>
      <c r="I476">
        <v>162</v>
      </c>
      <c r="J476">
        <v>103</v>
      </c>
      <c r="K476">
        <v>159</v>
      </c>
      <c r="L476">
        <v>424</v>
      </c>
      <c r="M476">
        <v>2025</v>
      </c>
    </row>
    <row r="477" spans="1:13" x14ac:dyDescent="0.25">
      <c r="A477" t="s">
        <v>514</v>
      </c>
      <c r="B477" t="s">
        <v>20</v>
      </c>
      <c r="C477" s="1">
        <v>37505</v>
      </c>
      <c r="D477" s="8">
        <f ca="1">ROUND(YEARFRAC(NEET[[#This Row],[Date_of_Birth]],TODAY()),0)</f>
        <v>24</v>
      </c>
      <c r="E477" t="s">
        <v>21</v>
      </c>
      <c r="F477" t="s">
        <v>21</v>
      </c>
      <c r="G477" t="s">
        <v>34</v>
      </c>
      <c r="H477">
        <v>3</v>
      </c>
      <c r="I477">
        <v>30</v>
      </c>
      <c r="J477">
        <v>70</v>
      </c>
      <c r="K477">
        <v>104</v>
      </c>
      <c r="L477">
        <v>204</v>
      </c>
      <c r="M477">
        <v>2026</v>
      </c>
    </row>
    <row r="478" spans="1:13" x14ac:dyDescent="0.25">
      <c r="A478" t="s">
        <v>515</v>
      </c>
      <c r="B478" t="s">
        <v>20</v>
      </c>
      <c r="C478" s="1">
        <v>38926</v>
      </c>
      <c r="D478" s="8">
        <f ca="1">ROUND(YEARFRAC(NEET[[#This Row],[Date_of_Birth]],TODAY()),0)</f>
        <v>20</v>
      </c>
      <c r="E478" t="s">
        <v>62</v>
      </c>
      <c r="F478" t="s">
        <v>15</v>
      </c>
      <c r="G478" t="s">
        <v>29</v>
      </c>
      <c r="H478">
        <v>3</v>
      </c>
      <c r="I478">
        <v>162</v>
      </c>
      <c r="J478">
        <v>33</v>
      </c>
      <c r="K478">
        <v>95</v>
      </c>
      <c r="L478">
        <v>290</v>
      </c>
      <c r="M478">
        <v>2025</v>
      </c>
    </row>
    <row r="479" spans="1:13" x14ac:dyDescent="0.25">
      <c r="A479" t="s">
        <v>516</v>
      </c>
      <c r="B479" t="s">
        <v>20</v>
      </c>
      <c r="C479" s="1">
        <v>37452</v>
      </c>
      <c r="D479" s="8">
        <f ca="1">ROUND(YEARFRAC(NEET[[#This Row],[Date_of_Birth]],TODAY()),0)</f>
        <v>24</v>
      </c>
      <c r="E479" t="s">
        <v>27</v>
      </c>
      <c r="F479" t="s">
        <v>15</v>
      </c>
      <c r="G479" t="s">
        <v>34</v>
      </c>
      <c r="H479">
        <v>2</v>
      </c>
      <c r="I479">
        <v>79</v>
      </c>
      <c r="J479">
        <v>146</v>
      </c>
      <c r="K479">
        <v>266</v>
      </c>
      <c r="L479">
        <v>491</v>
      </c>
      <c r="M479">
        <v>2023</v>
      </c>
    </row>
    <row r="480" spans="1:13" x14ac:dyDescent="0.25">
      <c r="A480" t="s">
        <v>517</v>
      </c>
      <c r="B480" t="s">
        <v>20</v>
      </c>
      <c r="C480" s="1">
        <v>38814</v>
      </c>
      <c r="D480" s="8">
        <f ca="1">ROUND(YEARFRAC(NEET[[#This Row],[Date_of_Birth]],TODAY()),0)</f>
        <v>20</v>
      </c>
      <c r="E480" t="s">
        <v>14</v>
      </c>
      <c r="F480" t="s">
        <v>15</v>
      </c>
      <c r="G480" t="s">
        <v>34</v>
      </c>
      <c r="H480">
        <v>3</v>
      </c>
      <c r="I480">
        <v>158</v>
      </c>
      <c r="J480">
        <v>105</v>
      </c>
      <c r="K480">
        <v>234</v>
      </c>
      <c r="L480">
        <v>497</v>
      </c>
      <c r="M480">
        <v>2026</v>
      </c>
    </row>
    <row r="481" spans="1:13" x14ac:dyDescent="0.25">
      <c r="A481" t="s">
        <v>518</v>
      </c>
      <c r="B481" t="s">
        <v>13</v>
      </c>
      <c r="C481" s="1">
        <v>38832</v>
      </c>
      <c r="D481" s="8">
        <f ca="1">ROUND(YEARFRAC(NEET[[#This Row],[Date_of_Birth]],TODAY()),0)</f>
        <v>20</v>
      </c>
      <c r="E481" t="s">
        <v>73</v>
      </c>
      <c r="F481" t="s">
        <v>15</v>
      </c>
      <c r="G481" t="s">
        <v>25</v>
      </c>
      <c r="H481">
        <v>4</v>
      </c>
      <c r="I481">
        <v>92</v>
      </c>
      <c r="J481">
        <v>116</v>
      </c>
      <c r="K481">
        <v>294</v>
      </c>
      <c r="L481">
        <v>502</v>
      </c>
      <c r="M481">
        <v>2025</v>
      </c>
    </row>
    <row r="482" spans="1:13" x14ac:dyDescent="0.25">
      <c r="A482" t="s">
        <v>519</v>
      </c>
      <c r="B482" t="s">
        <v>20</v>
      </c>
      <c r="C482" s="1">
        <v>36802</v>
      </c>
      <c r="D482" s="8">
        <f ca="1">ROUND(YEARFRAC(NEET[[#This Row],[Date_of_Birth]],TODAY()),0)</f>
        <v>26</v>
      </c>
      <c r="E482" t="s">
        <v>18</v>
      </c>
      <c r="F482" t="s">
        <v>15</v>
      </c>
      <c r="G482" t="s">
        <v>29</v>
      </c>
      <c r="H482">
        <v>1</v>
      </c>
      <c r="I482">
        <v>86</v>
      </c>
      <c r="J482">
        <v>88</v>
      </c>
      <c r="K482">
        <v>221</v>
      </c>
      <c r="L482">
        <v>395</v>
      </c>
      <c r="M482">
        <v>2024</v>
      </c>
    </row>
    <row r="483" spans="1:13" x14ac:dyDescent="0.25">
      <c r="A483" t="s">
        <v>520</v>
      </c>
      <c r="B483" t="s">
        <v>20</v>
      </c>
      <c r="C483" s="1">
        <v>37702</v>
      </c>
      <c r="D483" s="8">
        <f ca="1">ROUND(YEARFRAC(NEET[[#This Row],[Date_of_Birth]],TODAY()),0)</f>
        <v>23</v>
      </c>
      <c r="E483" t="s">
        <v>14</v>
      </c>
      <c r="F483" t="s">
        <v>15</v>
      </c>
      <c r="G483" t="s">
        <v>29</v>
      </c>
      <c r="H483">
        <v>3</v>
      </c>
      <c r="I483">
        <v>132</v>
      </c>
      <c r="J483">
        <v>117</v>
      </c>
      <c r="K483">
        <v>98</v>
      </c>
      <c r="L483">
        <v>347</v>
      </c>
      <c r="M483">
        <v>2024</v>
      </c>
    </row>
    <row r="484" spans="1:13" x14ac:dyDescent="0.25">
      <c r="A484" t="s">
        <v>521</v>
      </c>
      <c r="B484" t="s">
        <v>13</v>
      </c>
      <c r="C484" s="1">
        <v>38875</v>
      </c>
      <c r="D484" s="8">
        <f ca="1">ROUND(YEARFRAC(NEET[[#This Row],[Date_of_Birth]],TODAY()),0)</f>
        <v>20</v>
      </c>
      <c r="E484" t="s">
        <v>24</v>
      </c>
      <c r="F484" t="s">
        <v>15</v>
      </c>
      <c r="G484" t="s">
        <v>29</v>
      </c>
      <c r="H484">
        <v>2</v>
      </c>
      <c r="I484">
        <v>76</v>
      </c>
      <c r="J484">
        <v>78</v>
      </c>
      <c r="K484">
        <v>315</v>
      </c>
      <c r="L484">
        <v>469</v>
      </c>
      <c r="M484">
        <v>2024</v>
      </c>
    </row>
    <row r="485" spans="1:13" x14ac:dyDescent="0.25">
      <c r="A485" t="s">
        <v>522</v>
      </c>
      <c r="B485" t="s">
        <v>13</v>
      </c>
      <c r="C485" s="1">
        <v>37464</v>
      </c>
      <c r="D485" s="8">
        <f ca="1">ROUND(YEARFRAC(NEET[[#This Row],[Date_of_Birth]],TODAY()),0)</f>
        <v>24</v>
      </c>
      <c r="E485" t="s">
        <v>62</v>
      </c>
      <c r="F485" t="s">
        <v>15</v>
      </c>
      <c r="G485" t="s">
        <v>34</v>
      </c>
      <c r="H485">
        <v>1</v>
      </c>
      <c r="I485">
        <v>93</v>
      </c>
      <c r="J485">
        <v>121</v>
      </c>
      <c r="K485">
        <v>139</v>
      </c>
      <c r="L485">
        <v>353</v>
      </c>
      <c r="M485">
        <v>2023</v>
      </c>
    </row>
    <row r="486" spans="1:13" x14ac:dyDescent="0.25">
      <c r="A486" t="s">
        <v>523</v>
      </c>
      <c r="B486" t="s">
        <v>20</v>
      </c>
      <c r="C486" s="1">
        <v>39656</v>
      </c>
      <c r="D486" s="8">
        <f ca="1">ROUND(YEARFRAC(NEET[[#This Row],[Date_of_Birth]],TODAY()),0)</f>
        <v>18</v>
      </c>
      <c r="E486" t="s">
        <v>31</v>
      </c>
      <c r="F486" t="s">
        <v>32</v>
      </c>
      <c r="G486" t="s">
        <v>16</v>
      </c>
      <c r="H486">
        <v>4</v>
      </c>
      <c r="I486">
        <v>168</v>
      </c>
      <c r="J486">
        <v>40</v>
      </c>
      <c r="K486">
        <v>306</v>
      </c>
      <c r="L486">
        <v>514</v>
      </c>
      <c r="M486">
        <v>2025</v>
      </c>
    </row>
    <row r="487" spans="1:13" x14ac:dyDescent="0.25">
      <c r="A487" t="s">
        <v>524</v>
      </c>
      <c r="B487" t="s">
        <v>13</v>
      </c>
      <c r="C487" s="1">
        <v>38536</v>
      </c>
      <c r="D487" s="8">
        <f ca="1">ROUND(YEARFRAC(NEET[[#This Row],[Date_of_Birth]],TODAY()),0)</f>
        <v>21</v>
      </c>
      <c r="E487" t="s">
        <v>40</v>
      </c>
      <c r="F487" t="s">
        <v>15</v>
      </c>
      <c r="G487" t="s">
        <v>16</v>
      </c>
      <c r="H487">
        <v>1</v>
      </c>
      <c r="I487">
        <v>160</v>
      </c>
      <c r="J487">
        <v>101</v>
      </c>
      <c r="K487">
        <v>263</v>
      </c>
      <c r="L487">
        <v>524</v>
      </c>
      <c r="M487">
        <v>2026</v>
      </c>
    </row>
    <row r="488" spans="1:13" x14ac:dyDescent="0.25">
      <c r="A488" t="s">
        <v>525</v>
      </c>
      <c r="B488" t="s">
        <v>13</v>
      </c>
      <c r="C488" s="1">
        <v>38485</v>
      </c>
      <c r="D488" s="8">
        <f ca="1">ROUND(YEARFRAC(NEET[[#This Row],[Date_of_Birth]],TODAY()),0)</f>
        <v>21</v>
      </c>
      <c r="E488" t="s">
        <v>42</v>
      </c>
      <c r="F488" t="s">
        <v>15</v>
      </c>
      <c r="G488" t="s">
        <v>25</v>
      </c>
      <c r="H488">
        <v>4</v>
      </c>
      <c r="I488">
        <v>38</v>
      </c>
      <c r="J488">
        <v>158</v>
      </c>
      <c r="K488">
        <v>237</v>
      </c>
      <c r="L488">
        <v>433</v>
      </c>
      <c r="M488">
        <v>2026</v>
      </c>
    </row>
    <row r="489" spans="1:13" x14ac:dyDescent="0.25">
      <c r="A489" t="s">
        <v>526</v>
      </c>
      <c r="B489" t="s">
        <v>13</v>
      </c>
      <c r="C489" s="1">
        <v>37818</v>
      </c>
      <c r="D489" s="8">
        <f ca="1">ROUND(YEARFRAC(NEET[[#This Row],[Date_of_Birth]],TODAY()),0)</f>
        <v>23</v>
      </c>
      <c r="E489" t="s">
        <v>36</v>
      </c>
      <c r="F489" t="s">
        <v>37</v>
      </c>
      <c r="G489" t="s">
        <v>29</v>
      </c>
      <c r="H489">
        <v>3</v>
      </c>
      <c r="I489">
        <v>32</v>
      </c>
      <c r="J489">
        <v>33</v>
      </c>
      <c r="K489">
        <v>167</v>
      </c>
      <c r="L489">
        <v>232</v>
      </c>
      <c r="M489">
        <v>2025</v>
      </c>
    </row>
    <row r="490" spans="1:13" x14ac:dyDescent="0.25">
      <c r="A490" t="s">
        <v>527</v>
      </c>
      <c r="B490" t="s">
        <v>20</v>
      </c>
      <c r="C490" s="1">
        <v>37292</v>
      </c>
      <c r="D490" s="8">
        <f ca="1">ROUND(YEARFRAC(NEET[[#This Row],[Date_of_Birth]],TODAY()),0)</f>
        <v>24</v>
      </c>
      <c r="E490" t="s">
        <v>42</v>
      </c>
      <c r="F490" t="s">
        <v>15</v>
      </c>
      <c r="G490" t="s">
        <v>22</v>
      </c>
      <c r="H490">
        <v>3</v>
      </c>
      <c r="I490">
        <v>97</v>
      </c>
      <c r="J490">
        <v>90</v>
      </c>
      <c r="K490">
        <v>197</v>
      </c>
      <c r="L490">
        <v>384</v>
      </c>
      <c r="M490">
        <v>2026</v>
      </c>
    </row>
    <row r="491" spans="1:13" x14ac:dyDescent="0.25">
      <c r="A491" t="s">
        <v>528</v>
      </c>
      <c r="B491" t="s">
        <v>20</v>
      </c>
      <c r="C491" s="1">
        <v>38262</v>
      </c>
      <c r="D491" s="8">
        <f ca="1">ROUND(YEARFRAC(NEET[[#This Row],[Date_of_Birth]],TODAY()),0)</f>
        <v>22</v>
      </c>
      <c r="E491" t="s">
        <v>62</v>
      </c>
      <c r="F491" t="s">
        <v>15</v>
      </c>
      <c r="G491" t="s">
        <v>22</v>
      </c>
      <c r="H491">
        <v>4</v>
      </c>
      <c r="I491">
        <v>137</v>
      </c>
      <c r="J491">
        <v>125</v>
      </c>
      <c r="K491">
        <v>246</v>
      </c>
      <c r="L491">
        <v>508</v>
      </c>
      <c r="M491">
        <v>2024</v>
      </c>
    </row>
    <row r="492" spans="1:13" x14ac:dyDescent="0.25">
      <c r="A492" t="s">
        <v>529</v>
      </c>
      <c r="B492" t="s">
        <v>20</v>
      </c>
      <c r="C492" s="1">
        <v>38884</v>
      </c>
      <c r="D492" s="8">
        <f ca="1">ROUND(YEARFRAC(NEET[[#This Row],[Date_of_Birth]],TODAY()),0)</f>
        <v>20</v>
      </c>
      <c r="E492" t="s">
        <v>21</v>
      </c>
      <c r="F492" t="s">
        <v>21</v>
      </c>
      <c r="G492" t="s">
        <v>22</v>
      </c>
      <c r="H492">
        <v>4</v>
      </c>
      <c r="I492">
        <v>88</v>
      </c>
      <c r="J492">
        <v>55</v>
      </c>
      <c r="K492">
        <v>198</v>
      </c>
      <c r="L492">
        <v>341</v>
      </c>
      <c r="M492">
        <v>2024</v>
      </c>
    </row>
    <row r="493" spans="1:13" x14ac:dyDescent="0.25">
      <c r="A493" t="s">
        <v>530</v>
      </c>
      <c r="B493" t="s">
        <v>20</v>
      </c>
      <c r="C493" s="1">
        <v>39802</v>
      </c>
      <c r="D493" s="8">
        <f ca="1">ROUND(YEARFRAC(NEET[[#This Row],[Date_of_Birth]],TODAY()),0)</f>
        <v>17</v>
      </c>
      <c r="E493" t="s">
        <v>36</v>
      </c>
      <c r="F493" t="s">
        <v>37</v>
      </c>
      <c r="G493" t="s">
        <v>22</v>
      </c>
      <c r="H493">
        <v>4</v>
      </c>
      <c r="I493">
        <v>68</v>
      </c>
      <c r="J493">
        <v>151</v>
      </c>
      <c r="K493">
        <v>64</v>
      </c>
      <c r="L493">
        <v>283</v>
      </c>
      <c r="M493">
        <v>2025</v>
      </c>
    </row>
    <row r="494" spans="1:13" x14ac:dyDescent="0.25">
      <c r="A494" t="s">
        <v>531</v>
      </c>
      <c r="B494" t="s">
        <v>20</v>
      </c>
      <c r="C494" s="1">
        <v>39742</v>
      </c>
      <c r="D494" s="8">
        <f ca="1">ROUND(YEARFRAC(NEET[[#This Row],[Date_of_Birth]],TODAY()),0)</f>
        <v>18</v>
      </c>
      <c r="E494" t="s">
        <v>73</v>
      </c>
      <c r="F494" t="s">
        <v>15</v>
      </c>
      <c r="G494" t="s">
        <v>22</v>
      </c>
      <c r="H494">
        <v>1</v>
      </c>
      <c r="I494">
        <v>106</v>
      </c>
      <c r="J494">
        <v>94</v>
      </c>
      <c r="K494">
        <v>347</v>
      </c>
      <c r="L494">
        <v>547</v>
      </c>
      <c r="M494">
        <v>2023</v>
      </c>
    </row>
    <row r="495" spans="1:13" x14ac:dyDescent="0.25">
      <c r="A495" t="s">
        <v>532</v>
      </c>
      <c r="B495" t="s">
        <v>20</v>
      </c>
      <c r="C495" s="1">
        <v>37408</v>
      </c>
      <c r="D495" s="8">
        <f ca="1">ROUND(YEARFRAC(NEET[[#This Row],[Date_of_Birth]],TODAY()),0)</f>
        <v>24</v>
      </c>
      <c r="E495" t="s">
        <v>31</v>
      </c>
      <c r="F495" t="s">
        <v>32</v>
      </c>
      <c r="G495" t="s">
        <v>29</v>
      </c>
      <c r="H495">
        <v>3</v>
      </c>
      <c r="I495">
        <v>95</v>
      </c>
      <c r="J495">
        <v>151</v>
      </c>
      <c r="K495">
        <v>109</v>
      </c>
      <c r="L495">
        <v>355</v>
      </c>
      <c r="M495">
        <v>2025</v>
      </c>
    </row>
    <row r="496" spans="1:13" x14ac:dyDescent="0.25">
      <c r="A496" t="s">
        <v>533</v>
      </c>
      <c r="B496" t="s">
        <v>13</v>
      </c>
      <c r="C496" s="1">
        <v>38821</v>
      </c>
      <c r="D496" s="8">
        <f ca="1">ROUND(YEARFRAC(NEET[[#This Row],[Date_of_Birth]],TODAY()),0)</f>
        <v>20</v>
      </c>
      <c r="E496" t="s">
        <v>42</v>
      </c>
      <c r="F496" t="s">
        <v>15</v>
      </c>
      <c r="G496" t="s">
        <v>16</v>
      </c>
      <c r="H496">
        <v>3</v>
      </c>
      <c r="I496">
        <v>95</v>
      </c>
      <c r="J496">
        <v>118</v>
      </c>
      <c r="K496">
        <v>70</v>
      </c>
      <c r="L496">
        <v>283</v>
      </c>
      <c r="M496">
        <v>2024</v>
      </c>
    </row>
    <row r="497" spans="1:13" x14ac:dyDescent="0.25">
      <c r="A497" t="s">
        <v>534</v>
      </c>
      <c r="B497" t="s">
        <v>20</v>
      </c>
      <c r="C497" s="1">
        <v>38888</v>
      </c>
      <c r="D497" s="8">
        <f ca="1">ROUND(YEARFRAC(NEET[[#This Row],[Date_of_Birth]],TODAY()),0)</f>
        <v>20</v>
      </c>
      <c r="E497" t="s">
        <v>27</v>
      </c>
      <c r="F497" t="s">
        <v>15</v>
      </c>
      <c r="G497" t="s">
        <v>34</v>
      </c>
      <c r="H497">
        <v>4</v>
      </c>
      <c r="I497">
        <v>167</v>
      </c>
      <c r="J497">
        <v>74</v>
      </c>
      <c r="K497">
        <v>205</v>
      </c>
      <c r="L497">
        <v>446</v>
      </c>
      <c r="M497">
        <v>2023</v>
      </c>
    </row>
    <row r="498" spans="1:13" x14ac:dyDescent="0.25">
      <c r="A498" t="s">
        <v>535</v>
      </c>
      <c r="B498" t="s">
        <v>20</v>
      </c>
      <c r="C498" s="1">
        <v>38086</v>
      </c>
      <c r="D498" s="8">
        <f ca="1">ROUND(YEARFRAC(NEET[[#This Row],[Date_of_Birth]],TODAY()),0)</f>
        <v>22</v>
      </c>
      <c r="E498" t="s">
        <v>27</v>
      </c>
      <c r="F498" t="s">
        <v>15</v>
      </c>
      <c r="G498" t="s">
        <v>16</v>
      </c>
      <c r="H498">
        <v>4</v>
      </c>
      <c r="I498">
        <v>103</v>
      </c>
      <c r="J498">
        <v>148</v>
      </c>
      <c r="K498">
        <v>134</v>
      </c>
      <c r="L498">
        <v>385</v>
      </c>
      <c r="M498">
        <v>2026</v>
      </c>
    </row>
    <row r="499" spans="1:13" x14ac:dyDescent="0.25">
      <c r="A499" t="s">
        <v>536</v>
      </c>
      <c r="B499" t="s">
        <v>20</v>
      </c>
      <c r="C499" s="1">
        <v>36818</v>
      </c>
      <c r="D499" s="8">
        <f ca="1">ROUND(YEARFRAC(NEET[[#This Row],[Date_of_Birth]],TODAY()),0)</f>
        <v>26</v>
      </c>
      <c r="E499" t="s">
        <v>14</v>
      </c>
      <c r="F499" t="s">
        <v>15</v>
      </c>
      <c r="G499" t="s">
        <v>29</v>
      </c>
      <c r="H499">
        <v>3</v>
      </c>
      <c r="I499">
        <v>71</v>
      </c>
      <c r="J499">
        <v>117</v>
      </c>
      <c r="K499">
        <v>176</v>
      </c>
      <c r="L499">
        <v>364</v>
      </c>
      <c r="M499">
        <v>2026</v>
      </c>
    </row>
    <row r="500" spans="1:13" x14ac:dyDescent="0.25">
      <c r="A500" t="s">
        <v>537</v>
      </c>
      <c r="B500" t="s">
        <v>20</v>
      </c>
      <c r="C500" s="1">
        <v>37637</v>
      </c>
      <c r="D500" s="8">
        <f ca="1">ROUND(YEARFRAC(NEET[[#This Row],[Date_of_Birth]],TODAY()),0)</f>
        <v>23</v>
      </c>
      <c r="E500" t="s">
        <v>48</v>
      </c>
      <c r="F500" t="s">
        <v>49</v>
      </c>
      <c r="G500" t="s">
        <v>22</v>
      </c>
      <c r="H500">
        <v>2</v>
      </c>
      <c r="I500">
        <v>143</v>
      </c>
      <c r="J500">
        <v>122</v>
      </c>
      <c r="K500">
        <v>360</v>
      </c>
      <c r="L500">
        <v>625</v>
      </c>
      <c r="M500">
        <v>2023</v>
      </c>
    </row>
    <row r="501" spans="1:13" x14ac:dyDescent="0.25">
      <c r="A501" t="s">
        <v>538</v>
      </c>
      <c r="B501" t="s">
        <v>13</v>
      </c>
      <c r="C501" s="1">
        <v>37038</v>
      </c>
      <c r="D501" s="8">
        <f ca="1">ROUND(YEARFRAC(NEET[[#This Row],[Date_of_Birth]],TODAY()),0)</f>
        <v>25</v>
      </c>
      <c r="E501" t="s">
        <v>36</v>
      </c>
      <c r="F501" t="s">
        <v>37</v>
      </c>
      <c r="G501" t="s">
        <v>25</v>
      </c>
      <c r="H501">
        <v>4</v>
      </c>
      <c r="I501">
        <v>90</v>
      </c>
      <c r="J501">
        <v>94</v>
      </c>
      <c r="K501">
        <v>100</v>
      </c>
      <c r="L501">
        <v>284</v>
      </c>
      <c r="M501">
        <v>2023</v>
      </c>
    </row>
    <row r="502" spans="1:13" x14ac:dyDescent="0.25">
      <c r="A502" t="s">
        <v>539</v>
      </c>
      <c r="B502" t="s">
        <v>20</v>
      </c>
      <c r="C502" s="1">
        <v>36787</v>
      </c>
      <c r="D502" s="8">
        <f ca="1">ROUND(YEARFRAC(NEET[[#This Row],[Date_of_Birth]],TODAY()),0)</f>
        <v>26</v>
      </c>
      <c r="E502" t="s">
        <v>48</v>
      </c>
      <c r="F502" t="s">
        <v>49</v>
      </c>
      <c r="G502" t="s">
        <v>25</v>
      </c>
      <c r="H502">
        <v>1</v>
      </c>
      <c r="I502">
        <v>151</v>
      </c>
      <c r="J502">
        <v>170</v>
      </c>
      <c r="K502">
        <v>87</v>
      </c>
      <c r="L502">
        <v>408</v>
      </c>
      <c r="M502">
        <v>2025</v>
      </c>
    </row>
    <row r="503" spans="1:13" x14ac:dyDescent="0.25">
      <c r="A503" t="s">
        <v>540</v>
      </c>
      <c r="B503" t="s">
        <v>13</v>
      </c>
      <c r="C503" s="1">
        <v>39057</v>
      </c>
      <c r="D503" s="8">
        <f ca="1">ROUND(YEARFRAC(NEET[[#This Row],[Date_of_Birth]],TODAY()),0)</f>
        <v>19</v>
      </c>
      <c r="E503" t="s">
        <v>40</v>
      </c>
      <c r="F503" t="s">
        <v>15</v>
      </c>
      <c r="G503" t="s">
        <v>34</v>
      </c>
      <c r="H503">
        <v>3</v>
      </c>
      <c r="I503">
        <v>51</v>
      </c>
      <c r="J503">
        <v>129</v>
      </c>
      <c r="K503">
        <v>218</v>
      </c>
      <c r="L503">
        <v>398</v>
      </c>
      <c r="M503">
        <v>2024</v>
      </c>
    </row>
    <row r="504" spans="1:13" x14ac:dyDescent="0.25">
      <c r="A504" t="s">
        <v>541</v>
      </c>
      <c r="B504" t="s">
        <v>20</v>
      </c>
      <c r="C504" s="1">
        <v>37063</v>
      </c>
      <c r="D504" s="8">
        <f ca="1">ROUND(YEARFRAC(NEET[[#This Row],[Date_of_Birth]],TODAY()),0)</f>
        <v>25</v>
      </c>
      <c r="E504" t="s">
        <v>42</v>
      </c>
      <c r="F504" t="s">
        <v>15</v>
      </c>
      <c r="G504" t="s">
        <v>34</v>
      </c>
      <c r="H504">
        <v>4</v>
      </c>
      <c r="I504">
        <v>73</v>
      </c>
      <c r="J504">
        <v>37</v>
      </c>
      <c r="K504">
        <v>77</v>
      </c>
      <c r="L504">
        <v>187</v>
      </c>
      <c r="M504">
        <v>2025</v>
      </c>
    </row>
    <row r="505" spans="1:13" x14ac:dyDescent="0.25">
      <c r="A505" t="s">
        <v>542</v>
      </c>
      <c r="B505" t="s">
        <v>20</v>
      </c>
      <c r="C505" s="1">
        <v>38772</v>
      </c>
      <c r="D505" s="8">
        <f ca="1">ROUND(YEARFRAC(NEET[[#This Row],[Date_of_Birth]],TODAY()),0)</f>
        <v>20</v>
      </c>
      <c r="E505" t="s">
        <v>73</v>
      </c>
      <c r="F505" t="s">
        <v>15</v>
      </c>
      <c r="G505" t="s">
        <v>29</v>
      </c>
      <c r="H505">
        <v>3</v>
      </c>
      <c r="I505">
        <v>64</v>
      </c>
      <c r="J505">
        <v>168</v>
      </c>
      <c r="K505">
        <v>150</v>
      </c>
      <c r="L505">
        <v>382</v>
      </c>
      <c r="M505">
        <v>2026</v>
      </c>
    </row>
    <row r="506" spans="1:13" x14ac:dyDescent="0.25">
      <c r="A506" t="s">
        <v>543</v>
      </c>
      <c r="B506" t="s">
        <v>20</v>
      </c>
      <c r="C506" s="1">
        <v>38736</v>
      </c>
      <c r="D506" s="8">
        <f ca="1">ROUND(YEARFRAC(NEET[[#This Row],[Date_of_Birth]],TODAY()),0)</f>
        <v>20</v>
      </c>
      <c r="E506" t="s">
        <v>62</v>
      </c>
      <c r="F506" t="s">
        <v>15</v>
      </c>
      <c r="G506" t="s">
        <v>22</v>
      </c>
      <c r="H506">
        <v>3</v>
      </c>
      <c r="I506">
        <v>52</v>
      </c>
      <c r="J506">
        <v>143</v>
      </c>
      <c r="K506">
        <v>217</v>
      </c>
      <c r="L506">
        <v>412</v>
      </c>
      <c r="M506">
        <v>2025</v>
      </c>
    </row>
    <row r="507" spans="1:13" x14ac:dyDescent="0.25">
      <c r="A507" t="s">
        <v>544</v>
      </c>
      <c r="B507" t="s">
        <v>20</v>
      </c>
      <c r="C507" s="1">
        <v>36569</v>
      </c>
      <c r="D507" s="8">
        <f ca="1">ROUND(YEARFRAC(NEET[[#This Row],[Date_of_Birth]],TODAY()),0)</f>
        <v>26</v>
      </c>
      <c r="E507" t="s">
        <v>53</v>
      </c>
      <c r="F507" t="s">
        <v>15</v>
      </c>
      <c r="G507" t="s">
        <v>34</v>
      </c>
      <c r="H507">
        <v>1</v>
      </c>
      <c r="I507">
        <v>163</v>
      </c>
      <c r="J507">
        <v>64</v>
      </c>
      <c r="K507">
        <v>236</v>
      </c>
      <c r="L507">
        <v>463</v>
      </c>
      <c r="M507">
        <v>2026</v>
      </c>
    </row>
    <row r="508" spans="1:13" x14ac:dyDescent="0.25">
      <c r="A508" t="s">
        <v>545</v>
      </c>
      <c r="B508" t="s">
        <v>20</v>
      </c>
      <c r="C508" s="1">
        <v>37753</v>
      </c>
      <c r="D508" s="8">
        <f ca="1">ROUND(YEARFRAC(NEET[[#This Row],[Date_of_Birth]],TODAY()),0)</f>
        <v>23</v>
      </c>
      <c r="E508" t="s">
        <v>53</v>
      </c>
      <c r="F508" t="s">
        <v>15</v>
      </c>
      <c r="G508" t="s">
        <v>34</v>
      </c>
      <c r="H508">
        <v>2</v>
      </c>
      <c r="I508">
        <v>140</v>
      </c>
      <c r="J508">
        <v>104</v>
      </c>
      <c r="K508">
        <v>178</v>
      </c>
      <c r="L508">
        <v>422</v>
      </c>
      <c r="M508">
        <v>2026</v>
      </c>
    </row>
    <row r="509" spans="1:13" x14ac:dyDescent="0.25">
      <c r="A509" t="s">
        <v>546</v>
      </c>
      <c r="B509" t="s">
        <v>20</v>
      </c>
      <c r="C509" s="1">
        <v>38142</v>
      </c>
      <c r="D509" s="8">
        <f ca="1">ROUND(YEARFRAC(NEET[[#This Row],[Date_of_Birth]],TODAY()),0)</f>
        <v>22</v>
      </c>
      <c r="E509" t="s">
        <v>62</v>
      </c>
      <c r="F509" t="s">
        <v>15</v>
      </c>
      <c r="G509" t="s">
        <v>34</v>
      </c>
      <c r="H509">
        <v>1</v>
      </c>
      <c r="I509">
        <v>71</v>
      </c>
      <c r="J509">
        <v>129</v>
      </c>
      <c r="K509">
        <v>253</v>
      </c>
      <c r="L509">
        <v>453</v>
      </c>
      <c r="M509">
        <v>2024</v>
      </c>
    </row>
    <row r="510" spans="1:13" x14ac:dyDescent="0.25">
      <c r="A510" t="s">
        <v>547</v>
      </c>
      <c r="B510" t="s">
        <v>20</v>
      </c>
      <c r="C510" s="1">
        <v>38642</v>
      </c>
      <c r="D510" s="8">
        <f ca="1">ROUND(YEARFRAC(NEET[[#This Row],[Date_of_Birth]],TODAY()),0)</f>
        <v>21</v>
      </c>
      <c r="E510" t="s">
        <v>69</v>
      </c>
      <c r="F510" t="s">
        <v>70</v>
      </c>
      <c r="G510" t="s">
        <v>25</v>
      </c>
      <c r="H510">
        <v>2</v>
      </c>
      <c r="I510">
        <v>99</v>
      </c>
      <c r="J510">
        <v>102</v>
      </c>
      <c r="K510">
        <v>332</v>
      </c>
      <c r="L510">
        <v>533</v>
      </c>
      <c r="M510">
        <v>2024</v>
      </c>
    </row>
    <row r="511" spans="1:13" x14ac:dyDescent="0.25">
      <c r="A511" t="s">
        <v>548</v>
      </c>
      <c r="B511" t="s">
        <v>20</v>
      </c>
      <c r="C511" s="1">
        <v>37085</v>
      </c>
      <c r="D511" s="8">
        <f ca="1">ROUND(YEARFRAC(NEET[[#This Row],[Date_of_Birth]],TODAY()),0)</f>
        <v>25</v>
      </c>
      <c r="E511" t="s">
        <v>24</v>
      </c>
      <c r="F511" t="s">
        <v>15</v>
      </c>
      <c r="G511" t="s">
        <v>29</v>
      </c>
      <c r="H511">
        <v>2</v>
      </c>
      <c r="I511">
        <v>58</v>
      </c>
      <c r="J511">
        <v>146</v>
      </c>
      <c r="K511">
        <v>291</v>
      </c>
      <c r="L511">
        <v>495</v>
      </c>
      <c r="M511">
        <v>2023</v>
      </c>
    </row>
    <row r="512" spans="1:13" x14ac:dyDescent="0.25">
      <c r="A512" t="s">
        <v>549</v>
      </c>
      <c r="B512" t="s">
        <v>20</v>
      </c>
      <c r="C512" s="1">
        <v>37149</v>
      </c>
      <c r="D512" s="8">
        <f ca="1">ROUND(YEARFRAC(NEET[[#This Row],[Date_of_Birth]],TODAY()),0)</f>
        <v>25</v>
      </c>
      <c r="E512" t="s">
        <v>53</v>
      </c>
      <c r="F512" t="s">
        <v>15</v>
      </c>
      <c r="G512" t="s">
        <v>22</v>
      </c>
      <c r="H512">
        <v>3</v>
      </c>
      <c r="I512">
        <v>166</v>
      </c>
      <c r="J512">
        <v>35</v>
      </c>
      <c r="K512">
        <v>155</v>
      </c>
      <c r="L512">
        <v>356</v>
      </c>
      <c r="M512">
        <v>2026</v>
      </c>
    </row>
    <row r="513" spans="1:13" x14ac:dyDescent="0.25">
      <c r="A513" t="s">
        <v>550</v>
      </c>
      <c r="B513" t="s">
        <v>20</v>
      </c>
      <c r="C513" s="1">
        <v>39504</v>
      </c>
      <c r="D513" s="8">
        <f ca="1">ROUND(YEARFRAC(NEET[[#This Row],[Date_of_Birth]],TODAY()),0)</f>
        <v>18</v>
      </c>
      <c r="E513" t="s">
        <v>53</v>
      </c>
      <c r="F513" t="s">
        <v>15</v>
      </c>
      <c r="G513" t="s">
        <v>29</v>
      </c>
      <c r="H513">
        <v>2</v>
      </c>
      <c r="I513">
        <v>89</v>
      </c>
      <c r="J513">
        <v>53</v>
      </c>
      <c r="K513">
        <v>137</v>
      </c>
      <c r="L513">
        <v>279</v>
      </c>
      <c r="M513">
        <v>2026</v>
      </c>
    </row>
    <row r="514" spans="1:13" x14ac:dyDescent="0.25">
      <c r="A514" t="s">
        <v>551</v>
      </c>
      <c r="B514" t="s">
        <v>20</v>
      </c>
      <c r="C514" s="1">
        <v>37802</v>
      </c>
      <c r="D514" s="8">
        <f ca="1">ROUND(YEARFRAC(NEET[[#This Row],[Date_of_Birth]],TODAY()),0)</f>
        <v>23</v>
      </c>
      <c r="E514" t="s">
        <v>69</v>
      </c>
      <c r="F514" t="s">
        <v>70</v>
      </c>
      <c r="G514" t="s">
        <v>22</v>
      </c>
      <c r="H514">
        <v>1</v>
      </c>
      <c r="I514">
        <v>157</v>
      </c>
      <c r="J514">
        <v>125</v>
      </c>
      <c r="K514">
        <v>297</v>
      </c>
      <c r="L514">
        <v>579</v>
      </c>
      <c r="M514">
        <v>2023</v>
      </c>
    </row>
    <row r="515" spans="1:13" x14ac:dyDescent="0.25">
      <c r="A515" t="s">
        <v>552</v>
      </c>
      <c r="B515" t="s">
        <v>13</v>
      </c>
      <c r="C515" s="1">
        <v>37617</v>
      </c>
      <c r="D515" s="8">
        <f ca="1">ROUND(YEARFRAC(NEET[[#This Row],[Date_of_Birth]],TODAY()),0)</f>
        <v>23</v>
      </c>
      <c r="E515" t="s">
        <v>69</v>
      </c>
      <c r="F515" t="s">
        <v>70</v>
      </c>
      <c r="G515" t="s">
        <v>29</v>
      </c>
      <c r="H515">
        <v>2</v>
      </c>
      <c r="I515">
        <v>130</v>
      </c>
      <c r="J515">
        <v>48</v>
      </c>
      <c r="K515">
        <v>338</v>
      </c>
      <c r="L515">
        <v>516</v>
      </c>
      <c r="M515">
        <v>2026</v>
      </c>
    </row>
    <row r="516" spans="1:13" x14ac:dyDescent="0.25">
      <c r="A516" t="s">
        <v>553</v>
      </c>
      <c r="B516" t="s">
        <v>13</v>
      </c>
      <c r="C516" s="1">
        <v>36577</v>
      </c>
      <c r="D516" s="8">
        <f ca="1">ROUND(YEARFRAC(NEET[[#This Row],[Date_of_Birth]],TODAY()),0)</f>
        <v>26</v>
      </c>
      <c r="E516" t="s">
        <v>14</v>
      </c>
      <c r="F516" t="s">
        <v>15</v>
      </c>
      <c r="G516" t="s">
        <v>34</v>
      </c>
      <c r="H516">
        <v>2</v>
      </c>
      <c r="I516">
        <v>93</v>
      </c>
      <c r="J516">
        <v>128</v>
      </c>
      <c r="K516">
        <v>286</v>
      </c>
      <c r="L516">
        <v>507</v>
      </c>
      <c r="M516">
        <v>2023</v>
      </c>
    </row>
    <row r="517" spans="1:13" x14ac:dyDescent="0.25">
      <c r="A517" t="s">
        <v>554</v>
      </c>
      <c r="B517" t="s">
        <v>20</v>
      </c>
      <c r="C517" s="1">
        <v>38660</v>
      </c>
      <c r="D517" s="8">
        <f ca="1">ROUND(YEARFRAC(NEET[[#This Row],[Date_of_Birth]],TODAY()),0)</f>
        <v>21</v>
      </c>
      <c r="E517" t="s">
        <v>21</v>
      </c>
      <c r="F517" t="s">
        <v>21</v>
      </c>
      <c r="G517" t="s">
        <v>25</v>
      </c>
      <c r="H517">
        <v>2</v>
      </c>
      <c r="I517">
        <v>83</v>
      </c>
      <c r="J517">
        <v>151</v>
      </c>
      <c r="K517">
        <v>259</v>
      </c>
      <c r="L517">
        <v>493</v>
      </c>
      <c r="M517">
        <v>2023</v>
      </c>
    </row>
    <row r="518" spans="1:13" x14ac:dyDescent="0.25">
      <c r="A518" t="s">
        <v>555</v>
      </c>
      <c r="B518" t="s">
        <v>13</v>
      </c>
      <c r="C518" s="1">
        <v>37563</v>
      </c>
      <c r="D518" s="8">
        <f ca="1">ROUND(YEARFRAC(NEET[[#This Row],[Date_of_Birth]],TODAY()),0)</f>
        <v>24</v>
      </c>
      <c r="E518" t="s">
        <v>73</v>
      </c>
      <c r="F518" t="s">
        <v>15</v>
      </c>
      <c r="G518" t="s">
        <v>22</v>
      </c>
      <c r="H518">
        <v>1</v>
      </c>
      <c r="I518">
        <v>106</v>
      </c>
      <c r="J518">
        <v>80</v>
      </c>
      <c r="K518">
        <v>244</v>
      </c>
      <c r="L518">
        <v>430</v>
      </c>
      <c r="M518">
        <v>2026</v>
      </c>
    </row>
    <row r="519" spans="1:13" x14ac:dyDescent="0.25">
      <c r="A519" t="s">
        <v>556</v>
      </c>
      <c r="B519" t="s">
        <v>20</v>
      </c>
      <c r="C519" s="1">
        <v>37855</v>
      </c>
      <c r="D519" s="8">
        <f ca="1">ROUND(YEARFRAC(NEET[[#This Row],[Date_of_Birth]],TODAY()),0)</f>
        <v>23</v>
      </c>
      <c r="E519" t="s">
        <v>53</v>
      </c>
      <c r="F519" t="s">
        <v>15</v>
      </c>
      <c r="G519" t="s">
        <v>25</v>
      </c>
      <c r="H519">
        <v>2</v>
      </c>
      <c r="I519">
        <v>72</v>
      </c>
      <c r="J519">
        <v>100</v>
      </c>
      <c r="K519">
        <v>359</v>
      </c>
      <c r="L519">
        <v>531</v>
      </c>
      <c r="M519">
        <v>2023</v>
      </c>
    </row>
    <row r="520" spans="1:13" x14ac:dyDescent="0.25">
      <c r="A520" t="s">
        <v>557</v>
      </c>
      <c r="B520" t="s">
        <v>13</v>
      </c>
      <c r="C520" s="1">
        <v>38906</v>
      </c>
      <c r="D520" s="8">
        <f ca="1">ROUND(YEARFRAC(NEET[[#This Row],[Date_of_Birth]],TODAY()),0)</f>
        <v>20</v>
      </c>
      <c r="E520" t="s">
        <v>69</v>
      </c>
      <c r="F520" t="s">
        <v>70</v>
      </c>
      <c r="G520" t="s">
        <v>34</v>
      </c>
      <c r="H520">
        <v>2</v>
      </c>
      <c r="I520">
        <v>151</v>
      </c>
      <c r="J520">
        <v>69</v>
      </c>
      <c r="K520">
        <v>250</v>
      </c>
      <c r="L520">
        <v>470</v>
      </c>
      <c r="M520">
        <v>2023</v>
      </c>
    </row>
    <row r="521" spans="1:13" x14ac:dyDescent="0.25">
      <c r="A521" t="s">
        <v>558</v>
      </c>
      <c r="B521" t="s">
        <v>13</v>
      </c>
      <c r="C521" s="1">
        <v>39335</v>
      </c>
      <c r="D521" s="8">
        <f ca="1">ROUND(YEARFRAC(NEET[[#This Row],[Date_of_Birth]],TODAY()),0)</f>
        <v>19</v>
      </c>
      <c r="E521" t="s">
        <v>27</v>
      </c>
      <c r="F521" t="s">
        <v>15</v>
      </c>
      <c r="G521" t="s">
        <v>22</v>
      </c>
      <c r="H521">
        <v>1</v>
      </c>
      <c r="I521">
        <v>116</v>
      </c>
      <c r="J521">
        <v>45</v>
      </c>
      <c r="K521">
        <v>90</v>
      </c>
      <c r="L521">
        <v>251</v>
      </c>
      <c r="M521">
        <v>2026</v>
      </c>
    </row>
    <row r="522" spans="1:13" x14ac:dyDescent="0.25">
      <c r="A522" t="s">
        <v>559</v>
      </c>
      <c r="B522" t="s">
        <v>13</v>
      </c>
      <c r="C522" s="1">
        <v>37479</v>
      </c>
      <c r="D522" s="8">
        <f ca="1">ROUND(YEARFRAC(NEET[[#This Row],[Date_of_Birth]],TODAY()),0)</f>
        <v>24</v>
      </c>
      <c r="E522" t="s">
        <v>46</v>
      </c>
      <c r="F522" t="s">
        <v>15</v>
      </c>
      <c r="G522" t="s">
        <v>29</v>
      </c>
      <c r="H522">
        <v>4</v>
      </c>
      <c r="I522">
        <v>172</v>
      </c>
      <c r="J522">
        <v>118</v>
      </c>
      <c r="K522">
        <v>284</v>
      </c>
      <c r="L522">
        <v>574</v>
      </c>
      <c r="M522">
        <v>2024</v>
      </c>
    </row>
    <row r="523" spans="1:13" x14ac:dyDescent="0.25">
      <c r="A523" t="s">
        <v>560</v>
      </c>
      <c r="B523" t="s">
        <v>20</v>
      </c>
      <c r="C523" s="1">
        <v>37552</v>
      </c>
      <c r="D523" s="8">
        <f ca="1">ROUND(YEARFRAC(NEET[[#This Row],[Date_of_Birth]],TODAY()),0)</f>
        <v>24</v>
      </c>
      <c r="E523" t="s">
        <v>48</v>
      </c>
      <c r="F523" t="s">
        <v>49</v>
      </c>
      <c r="G523" t="s">
        <v>16</v>
      </c>
      <c r="H523">
        <v>2</v>
      </c>
      <c r="I523">
        <v>40</v>
      </c>
      <c r="J523">
        <v>154</v>
      </c>
      <c r="K523">
        <v>284</v>
      </c>
      <c r="L523">
        <v>478</v>
      </c>
      <c r="M523">
        <v>2024</v>
      </c>
    </row>
    <row r="524" spans="1:13" x14ac:dyDescent="0.25">
      <c r="A524" t="s">
        <v>561</v>
      </c>
      <c r="B524" t="s">
        <v>13</v>
      </c>
      <c r="C524" s="1">
        <v>38752</v>
      </c>
      <c r="D524" s="8">
        <f ca="1">ROUND(YEARFRAC(NEET[[#This Row],[Date_of_Birth]],TODAY()),0)</f>
        <v>20</v>
      </c>
      <c r="E524" t="s">
        <v>46</v>
      </c>
      <c r="F524" t="s">
        <v>15</v>
      </c>
      <c r="G524" t="s">
        <v>34</v>
      </c>
      <c r="H524">
        <v>2</v>
      </c>
      <c r="I524">
        <v>112</v>
      </c>
      <c r="J524">
        <v>149</v>
      </c>
      <c r="K524">
        <v>200</v>
      </c>
      <c r="L524">
        <v>461</v>
      </c>
      <c r="M524">
        <v>2025</v>
      </c>
    </row>
    <row r="525" spans="1:13" x14ac:dyDescent="0.25">
      <c r="A525" t="s">
        <v>562</v>
      </c>
      <c r="B525" t="s">
        <v>13</v>
      </c>
      <c r="C525" s="1">
        <v>37604</v>
      </c>
      <c r="D525" s="8">
        <f ca="1">ROUND(YEARFRAC(NEET[[#This Row],[Date_of_Birth]],TODAY()),0)</f>
        <v>23</v>
      </c>
      <c r="E525" t="s">
        <v>42</v>
      </c>
      <c r="F525" t="s">
        <v>15</v>
      </c>
      <c r="G525" t="s">
        <v>16</v>
      </c>
      <c r="H525">
        <v>1</v>
      </c>
      <c r="I525">
        <v>123</v>
      </c>
      <c r="J525">
        <v>146</v>
      </c>
      <c r="K525">
        <v>60</v>
      </c>
      <c r="L525">
        <v>329</v>
      </c>
      <c r="M525">
        <v>2025</v>
      </c>
    </row>
    <row r="526" spans="1:13" x14ac:dyDescent="0.25">
      <c r="A526" t="s">
        <v>563</v>
      </c>
      <c r="B526" t="s">
        <v>13</v>
      </c>
      <c r="C526" s="1">
        <v>39704</v>
      </c>
      <c r="D526" s="8">
        <f ca="1">ROUND(YEARFRAC(NEET[[#This Row],[Date_of_Birth]],TODAY()),0)</f>
        <v>18</v>
      </c>
      <c r="E526" t="s">
        <v>27</v>
      </c>
      <c r="F526" t="s">
        <v>15</v>
      </c>
      <c r="G526" t="s">
        <v>16</v>
      </c>
      <c r="H526">
        <v>4</v>
      </c>
      <c r="I526">
        <v>91</v>
      </c>
      <c r="J526">
        <v>112</v>
      </c>
      <c r="K526">
        <v>92</v>
      </c>
      <c r="L526">
        <v>295</v>
      </c>
      <c r="M526">
        <v>2024</v>
      </c>
    </row>
    <row r="527" spans="1:13" x14ac:dyDescent="0.25">
      <c r="A527" t="s">
        <v>564</v>
      </c>
      <c r="B527" t="s">
        <v>13</v>
      </c>
      <c r="C527" s="1">
        <v>39037</v>
      </c>
      <c r="D527" s="8">
        <f ca="1">ROUND(YEARFRAC(NEET[[#This Row],[Date_of_Birth]],TODAY()),0)</f>
        <v>20</v>
      </c>
      <c r="E527" t="s">
        <v>24</v>
      </c>
      <c r="F527" t="s">
        <v>15</v>
      </c>
      <c r="G527" t="s">
        <v>25</v>
      </c>
      <c r="H527">
        <v>1</v>
      </c>
      <c r="I527">
        <v>112</v>
      </c>
      <c r="J527">
        <v>134</v>
      </c>
      <c r="K527">
        <v>224</v>
      </c>
      <c r="L527">
        <v>470</v>
      </c>
      <c r="M527">
        <v>2024</v>
      </c>
    </row>
    <row r="528" spans="1:13" x14ac:dyDescent="0.25">
      <c r="A528" t="s">
        <v>565</v>
      </c>
      <c r="B528" t="s">
        <v>13</v>
      </c>
      <c r="C528" s="1">
        <v>37257</v>
      </c>
      <c r="D528" s="8">
        <f ca="1">ROUND(YEARFRAC(NEET[[#This Row],[Date_of_Birth]],TODAY()),0)</f>
        <v>24</v>
      </c>
      <c r="E528" t="s">
        <v>31</v>
      </c>
      <c r="F528" t="s">
        <v>32</v>
      </c>
      <c r="G528" t="s">
        <v>25</v>
      </c>
      <c r="H528">
        <v>1</v>
      </c>
      <c r="I528">
        <v>38</v>
      </c>
      <c r="J528">
        <v>81</v>
      </c>
      <c r="K528">
        <v>114</v>
      </c>
      <c r="L528">
        <v>233</v>
      </c>
      <c r="M528">
        <v>2026</v>
      </c>
    </row>
    <row r="529" spans="1:13" x14ac:dyDescent="0.25">
      <c r="A529" t="s">
        <v>566</v>
      </c>
      <c r="B529" t="s">
        <v>13</v>
      </c>
      <c r="C529" s="1">
        <v>39220</v>
      </c>
      <c r="D529" s="8">
        <f ca="1">ROUND(YEARFRAC(NEET[[#This Row],[Date_of_Birth]],TODAY()),0)</f>
        <v>19</v>
      </c>
      <c r="E529" t="s">
        <v>73</v>
      </c>
      <c r="F529" t="s">
        <v>15</v>
      </c>
      <c r="G529" t="s">
        <v>25</v>
      </c>
      <c r="H529">
        <v>1</v>
      </c>
      <c r="I529">
        <v>164</v>
      </c>
      <c r="J529">
        <v>95</v>
      </c>
      <c r="K529">
        <v>85</v>
      </c>
      <c r="L529">
        <v>344</v>
      </c>
      <c r="M529">
        <v>2024</v>
      </c>
    </row>
    <row r="530" spans="1:13" x14ac:dyDescent="0.25">
      <c r="A530" t="s">
        <v>567</v>
      </c>
      <c r="B530" t="s">
        <v>20</v>
      </c>
      <c r="C530" s="1">
        <v>39211</v>
      </c>
      <c r="D530" s="8">
        <f ca="1">ROUND(YEARFRAC(NEET[[#This Row],[Date_of_Birth]],TODAY()),0)</f>
        <v>19</v>
      </c>
      <c r="E530" t="s">
        <v>73</v>
      </c>
      <c r="F530" t="s">
        <v>15</v>
      </c>
      <c r="G530" t="s">
        <v>25</v>
      </c>
      <c r="H530">
        <v>3</v>
      </c>
      <c r="I530">
        <v>50</v>
      </c>
      <c r="J530">
        <v>149</v>
      </c>
      <c r="K530">
        <v>91</v>
      </c>
      <c r="L530">
        <v>290</v>
      </c>
      <c r="M530">
        <v>2025</v>
      </c>
    </row>
    <row r="531" spans="1:13" x14ac:dyDescent="0.25">
      <c r="A531" t="s">
        <v>568</v>
      </c>
      <c r="B531" t="s">
        <v>13</v>
      </c>
      <c r="C531" s="1">
        <v>38692</v>
      </c>
      <c r="D531" s="8">
        <f ca="1">ROUND(YEARFRAC(NEET[[#This Row],[Date_of_Birth]],TODAY()),0)</f>
        <v>20</v>
      </c>
      <c r="E531" t="s">
        <v>53</v>
      </c>
      <c r="F531" t="s">
        <v>15</v>
      </c>
      <c r="G531" t="s">
        <v>22</v>
      </c>
      <c r="H531">
        <v>1</v>
      </c>
      <c r="I531">
        <v>48</v>
      </c>
      <c r="J531">
        <v>107</v>
      </c>
      <c r="K531">
        <v>99</v>
      </c>
      <c r="L531">
        <v>254</v>
      </c>
      <c r="M531">
        <v>2026</v>
      </c>
    </row>
    <row r="532" spans="1:13" x14ac:dyDescent="0.25">
      <c r="A532" t="s">
        <v>569</v>
      </c>
      <c r="B532" t="s">
        <v>20</v>
      </c>
      <c r="C532" s="1">
        <v>37302</v>
      </c>
      <c r="D532" s="8">
        <f ca="1">ROUND(YEARFRAC(NEET[[#This Row],[Date_of_Birth]],TODAY()),0)</f>
        <v>24</v>
      </c>
      <c r="E532" t="s">
        <v>62</v>
      </c>
      <c r="F532" t="s">
        <v>15</v>
      </c>
      <c r="G532" t="s">
        <v>16</v>
      </c>
      <c r="H532">
        <v>1</v>
      </c>
      <c r="I532">
        <v>164</v>
      </c>
      <c r="J532">
        <v>93</v>
      </c>
      <c r="K532">
        <v>351</v>
      </c>
      <c r="L532">
        <v>608</v>
      </c>
      <c r="M532">
        <v>2025</v>
      </c>
    </row>
    <row r="533" spans="1:13" x14ac:dyDescent="0.25">
      <c r="A533" t="s">
        <v>570</v>
      </c>
      <c r="B533" t="s">
        <v>20</v>
      </c>
      <c r="C533" s="1">
        <v>39288</v>
      </c>
      <c r="D533" s="8">
        <f ca="1">ROUND(YEARFRAC(NEET[[#This Row],[Date_of_Birth]],TODAY()),0)</f>
        <v>19</v>
      </c>
      <c r="E533" t="s">
        <v>73</v>
      </c>
      <c r="F533" t="s">
        <v>15</v>
      </c>
      <c r="G533" t="s">
        <v>22</v>
      </c>
      <c r="H533">
        <v>3</v>
      </c>
      <c r="I533">
        <v>139</v>
      </c>
      <c r="J533">
        <v>56</v>
      </c>
      <c r="K533">
        <v>145</v>
      </c>
      <c r="L533">
        <v>340</v>
      </c>
      <c r="M533">
        <v>2026</v>
      </c>
    </row>
    <row r="534" spans="1:13" x14ac:dyDescent="0.25">
      <c r="A534" t="s">
        <v>571</v>
      </c>
      <c r="B534" t="s">
        <v>20</v>
      </c>
      <c r="C534" s="1">
        <v>37969</v>
      </c>
      <c r="D534" s="8">
        <f ca="1">ROUND(YEARFRAC(NEET[[#This Row],[Date_of_Birth]],TODAY()),0)</f>
        <v>22</v>
      </c>
      <c r="E534" t="s">
        <v>48</v>
      </c>
      <c r="F534" t="s">
        <v>49</v>
      </c>
      <c r="G534" t="s">
        <v>29</v>
      </c>
      <c r="H534">
        <v>4</v>
      </c>
      <c r="I534">
        <v>110</v>
      </c>
      <c r="J534">
        <v>170</v>
      </c>
      <c r="K534">
        <v>226</v>
      </c>
      <c r="L534">
        <v>506</v>
      </c>
      <c r="M534">
        <v>2024</v>
      </c>
    </row>
    <row r="535" spans="1:13" x14ac:dyDescent="0.25">
      <c r="A535" t="s">
        <v>572</v>
      </c>
      <c r="B535" t="s">
        <v>20</v>
      </c>
      <c r="C535" s="1">
        <v>38832</v>
      </c>
      <c r="D535" s="8">
        <f ca="1">ROUND(YEARFRAC(NEET[[#This Row],[Date_of_Birth]],TODAY()),0)</f>
        <v>20</v>
      </c>
      <c r="E535" t="s">
        <v>42</v>
      </c>
      <c r="F535" t="s">
        <v>15</v>
      </c>
      <c r="G535" t="s">
        <v>34</v>
      </c>
      <c r="H535">
        <v>4</v>
      </c>
      <c r="I535">
        <v>84</v>
      </c>
      <c r="J535">
        <v>126</v>
      </c>
      <c r="K535">
        <v>341</v>
      </c>
      <c r="L535">
        <v>551</v>
      </c>
      <c r="M535">
        <v>2026</v>
      </c>
    </row>
    <row r="536" spans="1:13" x14ac:dyDescent="0.25">
      <c r="A536" t="s">
        <v>573</v>
      </c>
      <c r="B536" t="s">
        <v>20</v>
      </c>
      <c r="C536" s="1">
        <v>36526</v>
      </c>
      <c r="D536" s="8">
        <f ca="1">ROUND(YEARFRAC(NEET[[#This Row],[Date_of_Birth]],TODAY()),0)</f>
        <v>26</v>
      </c>
      <c r="E536" t="s">
        <v>36</v>
      </c>
      <c r="F536" t="s">
        <v>37</v>
      </c>
      <c r="G536" t="s">
        <v>29</v>
      </c>
      <c r="H536">
        <v>1</v>
      </c>
      <c r="I536">
        <v>38</v>
      </c>
      <c r="J536">
        <v>102</v>
      </c>
      <c r="K536">
        <v>68</v>
      </c>
      <c r="L536">
        <v>208</v>
      </c>
      <c r="M536">
        <v>2024</v>
      </c>
    </row>
    <row r="537" spans="1:13" x14ac:dyDescent="0.25">
      <c r="A537" t="s">
        <v>574</v>
      </c>
      <c r="B537" t="s">
        <v>13</v>
      </c>
      <c r="C537" s="1">
        <v>37405</v>
      </c>
      <c r="D537" s="8">
        <f ca="1">ROUND(YEARFRAC(NEET[[#This Row],[Date_of_Birth]],TODAY()),0)</f>
        <v>24</v>
      </c>
      <c r="E537" t="s">
        <v>31</v>
      </c>
      <c r="F537" t="s">
        <v>32</v>
      </c>
      <c r="G537" t="s">
        <v>34</v>
      </c>
      <c r="H537">
        <v>1</v>
      </c>
      <c r="I537">
        <v>110</v>
      </c>
      <c r="J537">
        <v>35</v>
      </c>
      <c r="K537">
        <v>201</v>
      </c>
      <c r="L537">
        <v>346</v>
      </c>
      <c r="M537">
        <v>2025</v>
      </c>
    </row>
    <row r="538" spans="1:13" x14ac:dyDescent="0.25">
      <c r="A538" t="s">
        <v>575</v>
      </c>
      <c r="B538" t="s">
        <v>13</v>
      </c>
      <c r="C538" s="1">
        <v>37165</v>
      </c>
      <c r="D538" s="8">
        <f ca="1">ROUND(YEARFRAC(NEET[[#This Row],[Date_of_Birth]],TODAY()),0)</f>
        <v>25</v>
      </c>
      <c r="E538" t="s">
        <v>40</v>
      </c>
      <c r="F538" t="s">
        <v>15</v>
      </c>
      <c r="G538" t="s">
        <v>29</v>
      </c>
      <c r="H538">
        <v>3</v>
      </c>
      <c r="I538">
        <v>97</v>
      </c>
      <c r="J538">
        <v>123</v>
      </c>
      <c r="K538">
        <v>358</v>
      </c>
      <c r="L538">
        <v>578</v>
      </c>
      <c r="M538">
        <v>2023</v>
      </c>
    </row>
    <row r="539" spans="1:13" x14ac:dyDescent="0.25">
      <c r="A539" t="s">
        <v>576</v>
      </c>
      <c r="B539" t="s">
        <v>20</v>
      </c>
      <c r="C539" s="1">
        <v>38862</v>
      </c>
      <c r="D539" s="8">
        <f ca="1">ROUND(YEARFRAC(NEET[[#This Row],[Date_of_Birth]],TODAY()),0)</f>
        <v>20</v>
      </c>
      <c r="E539" t="s">
        <v>18</v>
      </c>
      <c r="F539" t="s">
        <v>15</v>
      </c>
      <c r="G539" t="s">
        <v>34</v>
      </c>
      <c r="H539">
        <v>2</v>
      </c>
      <c r="I539">
        <v>175</v>
      </c>
      <c r="J539">
        <v>85</v>
      </c>
      <c r="K539">
        <v>99</v>
      </c>
      <c r="L539">
        <v>359</v>
      </c>
      <c r="M539">
        <v>2023</v>
      </c>
    </row>
    <row r="540" spans="1:13" x14ac:dyDescent="0.25">
      <c r="A540" t="s">
        <v>577</v>
      </c>
      <c r="B540" t="s">
        <v>13</v>
      </c>
      <c r="C540" s="1">
        <v>38964</v>
      </c>
      <c r="D540" s="8">
        <f ca="1">ROUND(YEARFRAC(NEET[[#This Row],[Date_of_Birth]],TODAY()),0)</f>
        <v>20</v>
      </c>
      <c r="E540" t="s">
        <v>21</v>
      </c>
      <c r="F540" t="s">
        <v>21</v>
      </c>
      <c r="G540" t="s">
        <v>29</v>
      </c>
      <c r="H540">
        <v>1</v>
      </c>
      <c r="I540">
        <v>106</v>
      </c>
      <c r="J540">
        <v>39</v>
      </c>
      <c r="K540">
        <v>355</v>
      </c>
      <c r="L540">
        <v>500</v>
      </c>
      <c r="M540">
        <v>2025</v>
      </c>
    </row>
    <row r="541" spans="1:13" x14ac:dyDescent="0.25">
      <c r="A541" t="s">
        <v>578</v>
      </c>
      <c r="B541" t="s">
        <v>13</v>
      </c>
      <c r="C541" s="1">
        <v>38304</v>
      </c>
      <c r="D541" s="8">
        <f ca="1">ROUND(YEARFRAC(NEET[[#This Row],[Date_of_Birth]],TODAY()),0)</f>
        <v>22</v>
      </c>
      <c r="E541" t="s">
        <v>18</v>
      </c>
      <c r="F541" t="s">
        <v>15</v>
      </c>
      <c r="G541" t="s">
        <v>16</v>
      </c>
      <c r="H541">
        <v>3</v>
      </c>
      <c r="I541">
        <v>60</v>
      </c>
      <c r="J541">
        <v>88</v>
      </c>
      <c r="K541">
        <v>65</v>
      </c>
      <c r="L541">
        <v>213</v>
      </c>
      <c r="M541">
        <v>2023</v>
      </c>
    </row>
    <row r="542" spans="1:13" x14ac:dyDescent="0.25">
      <c r="A542" t="s">
        <v>579</v>
      </c>
      <c r="B542" t="s">
        <v>13</v>
      </c>
      <c r="C542" s="1">
        <v>37833</v>
      </c>
      <c r="D542" s="8">
        <f ca="1">ROUND(YEARFRAC(NEET[[#This Row],[Date_of_Birth]],TODAY()),0)</f>
        <v>23</v>
      </c>
      <c r="E542" t="s">
        <v>42</v>
      </c>
      <c r="F542" t="s">
        <v>15</v>
      </c>
      <c r="G542" t="s">
        <v>34</v>
      </c>
      <c r="H542">
        <v>1</v>
      </c>
      <c r="I542">
        <v>174</v>
      </c>
      <c r="J542">
        <v>68</v>
      </c>
      <c r="K542">
        <v>227</v>
      </c>
      <c r="L542">
        <v>469</v>
      </c>
      <c r="M542">
        <v>2026</v>
      </c>
    </row>
    <row r="543" spans="1:13" x14ac:dyDescent="0.25">
      <c r="A543" t="s">
        <v>580</v>
      </c>
      <c r="B543" t="s">
        <v>20</v>
      </c>
      <c r="C543" s="1">
        <v>39609</v>
      </c>
      <c r="D543" s="8">
        <f ca="1">ROUND(YEARFRAC(NEET[[#This Row],[Date_of_Birth]],TODAY()),0)</f>
        <v>18</v>
      </c>
      <c r="E543" t="s">
        <v>27</v>
      </c>
      <c r="F543" t="s">
        <v>15</v>
      </c>
      <c r="G543" t="s">
        <v>34</v>
      </c>
      <c r="H543">
        <v>3</v>
      </c>
      <c r="I543">
        <v>177</v>
      </c>
      <c r="J543">
        <v>159</v>
      </c>
      <c r="K543">
        <v>106</v>
      </c>
      <c r="L543">
        <v>442</v>
      </c>
      <c r="M543">
        <v>2024</v>
      </c>
    </row>
    <row r="544" spans="1:13" x14ac:dyDescent="0.25">
      <c r="A544" t="s">
        <v>581</v>
      </c>
      <c r="B544" t="s">
        <v>20</v>
      </c>
      <c r="C544" s="1">
        <v>37067</v>
      </c>
      <c r="D544" s="8">
        <f ca="1">ROUND(YEARFRAC(NEET[[#This Row],[Date_of_Birth]],TODAY()),0)</f>
        <v>25</v>
      </c>
      <c r="E544" t="s">
        <v>46</v>
      </c>
      <c r="F544" t="s">
        <v>15</v>
      </c>
      <c r="G544" t="s">
        <v>25</v>
      </c>
      <c r="H544">
        <v>3</v>
      </c>
      <c r="I544">
        <v>51</v>
      </c>
      <c r="J544">
        <v>151</v>
      </c>
      <c r="K544">
        <v>352</v>
      </c>
      <c r="L544">
        <v>554</v>
      </c>
      <c r="M544">
        <v>2026</v>
      </c>
    </row>
    <row r="545" spans="1:13" x14ac:dyDescent="0.25">
      <c r="A545" t="s">
        <v>582</v>
      </c>
      <c r="B545" t="s">
        <v>20</v>
      </c>
      <c r="C545" s="1">
        <v>38581</v>
      </c>
      <c r="D545" s="8">
        <f ca="1">ROUND(YEARFRAC(NEET[[#This Row],[Date_of_Birth]],TODAY()),0)</f>
        <v>21</v>
      </c>
      <c r="E545" t="s">
        <v>18</v>
      </c>
      <c r="F545" t="s">
        <v>15</v>
      </c>
      <c r="G545" t="s">
        <v>16</v>
      </c>
      <c r="H545">
        <v>4</v>
      </c>
      <c r="I545">
        <v>63</v>
      </c>
      <c r="J545">
        <v>64</v>
      </c>
      <c r="K545">
        <v>306</v>
      </c>
      <c r="L545">
        <v>433</v>
      </c>
      <c r="M545">
        <v>2024</v>
      </c>
    </row>
    <row r="546" spans="1:13" x14ac:dyDescent="0.25">
      <c r="A546" t="s">
        <v>583</v>
      </c>
      <c r="B546" t="s">
        <v>20</v>
      </c>
      <c r="C546" s="1">
        <v>38824</v>
      </c>
      <c r="D546" s="8">
        <f ca="1">ROUND(YEARFRAC(NEET[[#This Row],[Date_of_Birth]],TODAY()),0)</f>
        <v>20</v>
      </c>
      <c r="E546" t="s">
        <v>27</v>
      </c>
      <c r="F546" t="s">
        <v>15</v>
      </c>
      <c r="G546" t="s">
        <v>29</v>
      </c>
      <c r="H546">
        <v>4</v>
      </c>
      <c r="I546">
        <v>164</v>
      </c>
      <c r="J546">
        <v>93</v>
      </c>
      <c r="K546">
        <v>184</v>
      </c>
      <c r="L546">
        <v>441</v>
      </c>
      <c r="M546">
        <v>2023</v>
      </c>
    </row>
    <row r="547" spans="1:13" x14ac:dyDescent="0.25">
      <c r="A547" t="s">
        <v>584</v>
      </c>
      <c r="B547" t="s">
        <v>13</v>
      </c>
      <c r="C547" s="1">
        <v>36986</v>
      </c>
      <c r="D547" s="8">
        <f ca="1">ROUND(YEARFRAC(NEET[[#This Row],[Date_of_Birth]],TODAY()),0)</f>
        <v>25</v>
      </c>
      <c r="E547" t="s">
        <v>21</v>
      </c>
      <c r="F547" t="s">
        <v>21</v>
      </c>
      <c r="G547" t="s">
        <v>29</v>
      </c>
      <c r="H547">
        <v>3</v>
      </c>
      <c r="I547">
        <v>135</v>
      </c>
      <c r="J547">
        <v>138</v>
      </c>
      <c r="K547">
        <v>247</v>
      </c>
      <c r="L547">
        <v>520</v>
      </c>
      <c r="M547">
        <v>2023</v>
      </c>
    </row>
    <row r="548" spans="1:13" x14ac:dyDescent="0.25">
      <c r="A548" t="s">
        <v>585</v>
      </c>
      <c r="B548" t="s">
        <v>20</v>
      </c>
      <c r="C548" s="1">
        <v>39678</v>
      </c>
      <c r="D548" s="8">
        <f ca="1">ROUND(YEARFRAC(NEET[[#This Row],[Date_of_Birth]],TODAY()),0)</f>
        <v>18</v>
      </c>
      <c r="E548" t="s">
        <v>24</v>
      </c>
      <c r="F548" t="s">
        <v>15</v>
      </c>
      <c r="G548" t="s">
        <v>22</v>
      </c>
      <c r="H548">
        <v>1</v>
      </c>
      <c r="I548">
        <v>73</v>
      </c>
      <c r="J548">
        <v>119</v>
      </c>
      <c r="K548">
        <v>286</v>
      </c>
      <c r="L548">
        <v>478</v>
      </c>
      <c r="M548">
        <v>2024</v>
      </c>
    </row>
    <row r="549" spans="1:13" x14ac:dyDescent="0.25">
      <c r="A549" t="s">
        <v>586</v>
      </c>
      <c r="B549" t="s">
        <v>13</v>
      </c>
      <c r="C549" s="1">
        <v>39333</v>
      </c>
      <c r="D549" s="8">
        <f ca="1">ROUND(YEARFRAC(NEET[[#This Row],[Date_of_Birth]],TODAY()),0)</f>
        <v>19</v>
      </c>
      <c r="E549" t="s">
        <v>46</v>
      </c>
      <c r="F549" t="s">
        <v>15</v>
      </c>
      <c r="G549" t="s">
        <v>29</v>
      </c>
      <c r="H549">
        <v>2</v>
      </c>
      <c r="I549">
        <v>69</v>
      </c>
      <c r="J549">
        <v>51</v>
      </c>
      <c r="K549">
        <v>117</v>
      </c>
      <c r="L549">
        <v>237</v>
      </c>
      <c r="M549">
        <v>2023</v>
      </c>
    </row>
    <row r="550" spans="1:13" x14ac:dyDescent="0.25">
      <c r="A550" t="s">
        <v>587</v>
      </c>
      <c r="B550" t="s">
        <v>13</v>
      </c>
      <c r="C550" s="1">
        <v>37932</v>
      </c>
      <c r="D550" s="8">
        <f ca="1">ROUND(YEARFRAC(NEET[[#This Row],[Date_of_Birth]],TODAY()),0)</f>
        <v>23</v>
      </c>
      <c r="E550" t="s">
        <v>36</v>
      </c>
      <c r="F550" t="s">
        <v>37</v>
      </c>
      <c r="G550" t="s">
        <v>22</v>
      </c>
      <c r="H550">
        <v>3</v>
      </c>
      <c r="I550">
        <v>58</v>
      </c>
      <c r="J550">
        <v>108</v>
      </c>
      <c r="K550">
        <v>290</v>
      </c>
      <c r="L550">
        <v>456</v>
      </c>
      <c r="M550">
        <v>2024</v>
      </c>
    </row>
    <row r="551" spans="1:13" x14ac:dyDescent="0.25">
      <c r="A551" t="s">
        <v>588</v>
      </c>
      <c r="B551" t="s">
        <v>13</v>
      </c>
      <c r="C551" s="1">
        <v>37360</v>
      </c>
      <c r="D551" s="8">
        <f ca="1">ROUND(YEARFRAC(NEET[[#This Row],[Date_of_Birth]],TODAY()),0)</f>
        <v>24</v>
      </c>
      <c r="E551" t="s">
        <v>42</v>
      </c>
      <c r="F551" t="s">
        <v>15</v>
      </c>
      <c r="G551" t="s">
        <v>34</v>
      </c>
      <c r="H551">
        <v>1</v>
      </c>
      <c r="I551">
        <v>163</v>
      </c>
      <c r="J551">
        <v>96</v>
      </c>
      <c r="K551">
        <v>340</v>
      </c>
      <c r="L551">
        <v>599</v>
      </c>
      <c r="M551">
        <v>2023</v>
      </c>
    </row>
    <row r="552" spans="1:13" x14ac:dyDescent="0.25">
      <c r="A552" t="s">
        <v>589</v>
      </c>
      <c r="B552" t="s">
        <v>13</v>
      </c>
      <c r="C552" s="1">
        <v>37572</v>
      </c>
      <c r="D552" s="8">
        <f ca="1">ROUND(YEARFRAC(NEET[[#This Row],[Date_of_Birth]],TODAY()),0)</f>
        <v>24</v>
      </c>
      <c r="E552" t="s">
        <v>40</v>
      </c>
      <c r="F552" t="s">
        <v>15</v>
      </c>
      <c r="G552" t="s">
        <v>25</v>
      </c>
      <c r="H552">
        <v>4</v>
      </c>
      <c r="I552">
        <v>45</v>
      </c>
      <c r="J552">
        <v>102</v>
      </c>
      <c r="K552">
        <v>162</v>
      </c>
      <c r="L552">
        <v>309</v>
      </c>
      <c r="M552">
        <v>2023</v>
      </c>
    </row>
    <row r="553" spans="1:13" x14ac:dyDescent="0.25">
      <c r="A553" t="s">
        <v>590</v>
      </c>
      <c r="B553" t="s">
        <v>20</v>
      </c>
      <c r="C553" s="1">
        <v>38117</v>
      </c>
      <c r="D553" s="8">
        <f ca="1">ROUND(YEARFRAC(NEET[[#This Row],[Date_of_Birth]],TODAY()),0)</f>
        <v>22</v>
      </c>
      <c r="E553" t="s">
        <v>21</v>
      </c>
      <c r="F553" t="s">
        <v>21</v>
      </c>
      <c r="G553" t="s">
        <v>22</v>
      </c>
      <c r="H553">
        <v>4</v>
      </c>
      <c r="I553">
        <v>99</v>
      </c>
      <c r="J553">
        <v>122</v>
      </c>
      <c r="K553">
        <v>115</v>
      </c>
      <c r="L553">
        <v>336</v>
      </c>
      <c r="M553">
        <v>2026</v>
      </c>
    </row>
    <row r="554" spans="1:13" x14ac:dyDescent="0.25">
      <c r="A554" t="s">
        <v>591</v>
      </c>
      <c r="B554" t="s">
        <v>13</v>
      </c>
      <c r="C554" s="1">
        <v>38608</v>
      </c>
      <c r="D554" s="8">
        <f ca="1">ROUND(YEARFRAC(NEET[[#This Row],[Date_of_Birth]],TODAY()),0)</f>
        <v>21</v>
      </c>
      <c r="E554" t="s">
        <v>36</v>
      </c>
      <c r="F554" t="s">
        <v>37</v>
      </c>
      <c r="G554" t="s">
        <v>16</v>
      </c>
      <c r="H554">
        <v>2</v>
      </c>
      <c r="I554">
        <v>55</v>
      </c>
      <c r="J554">
        <v>110</v>
      </c>
      <c r="K554">
        <v>308</v>
      </c>
      <c r="L554">
        <v>473</v>
      </c>
      <c r="M554">
        <v>2026</v>
      </c>
    </row>
    <row r="555" spans="1:13" x14ac:dyDescent="0.25">
      <c r="A555" t="s">
        <v>592</v>
      </c>
      <c r="B555" t="s">
        <v>20</v>
      </c>
      <c r="C555" s="1">
        <v>38822</v>
      </c>
      <c r="D555" s="8">
        <f ca="1">ROUND(YEARFRAC(NEET[[#This Row],[Date_of_Birth]],TODAY()),0)</f>
        <v>20</v>
      </c>
      <c r="E555" t="s">
        <v>48</v>
      </c>
      <c r="F555" t="s">
        <v>49</v>
      </c>
      <c r="G555" t="s">
        <v>34</v>
      </c>
      <c r="H555">
        <v>4</v>
      </c>
      <c r="I555">
        <v>35</v>
      </c>
      <c r="J555">
        <v>40</v>
      </c>
      <c r="K555">
        <v>186</v>
      </c>
      <c r="L555">
        <v>261</v>
      </c>
      <c r="M555">
        <v>2024</v>
      </c>
    </row>
    <row r="556" spans="1:13" x14ac:dyDescent="0.25">
      <c r="A556" t="s">
        <v>593</v>
      </c>
      <c r="B556" t="s">
        <v>20</v>
      </c>
      <c r="C556" s="1">
        <v>36601</v>
      </c>
      <c r="D556" s="8">
        <f ca="1">ROUND(YEARFRAC(NEET[[#This Row],[Date_of_Birth]],TODAY()),0)</f>
        <v>26</v>
      </c>
      <c r="E556" t="s">
        <v>46</v>
      </c>
      <c r="F556" t="s">
        <v>15</v>
      </c>
      <c r="G556" t="s">
        <v>29</v>
      </c>
      <c r="H556">
        <v>1</v>
      </c>
      <c r="I556">
        <v>120</v>
      </c>
      <c r="J556">
        <v>120</v>
      </c>
      <c r="K556">
        <v>214</v>
      </c>
      <c r="L556">
        <v>454</v>
      </c>
      <c r="M556">
        <v>2026</v>
      </c>
    </row>
    <row r="557" spans="1:13" x14ac:dyDescent="0.25">
      <c r="A557" t="s">
        <v>594</v>
      </c>
      <c r="B557" t="s">
        <v>20</v>
      </c>
      <c r="C557" s="1">
        <v>36646</v>
      </c>
      <c r="D557" s="8">
        <f ca="1">ROUND(YEARFRAC(NEET[[#This Row],[Date_of_Birth]],TODAY()),0)</f>
        <v>26</v>
      </c>
      <c r="E557" t="s">
        <v>42</v>
      </c>
      <c r="F557" t="s">
        <v>15</v>
      </c>
      <c r="G557" t="s">
        <v>25</v>
      </c>
      <c r="H557">
        <v>2</v>
      </c>
      <c r="I557">
        <v>101</v>
      </c>
      <c r="J557">
        <v>87</v>
      </c>
      <c r="K557">
        <v>137</v>
      </c>
      <c r="L557">
        <v>325</v>
      </c>
      <c r="M557">
        <v>2026</v>
      </c>
    </row>
    <row r="558" spans="1:13" x14ac:dyDescent="0.25">
      <c r="A558" t="s">
        <v>595</v>
      </c>
      <c r="B558" t="s">
        <v>20</v>
      </c>
      <c r="C558" s="1">
        <v>38658</v>
      </c>
      <c r="D558" s="8">
        <f ca="1">ROUND(YEARFRAC(NEET[[#This Row],[Date_of_Birth]],TODAY()),0)</f>
        <v>21</v>
      </c>
      <c r="E558" t="s">
        <v>21</v>
      </c>
      <c r="F558" t="s">
        <v>21</v>
      </c>
      <c r="G558" t="s">
        <v>16</v>
      </c>
      <c r="H558">
        <v>3</v>
      </c>
      <c r="I558">
        <v>88</v>
      </c>
      <c r="J558">
        <v>136</v>
      </c>
      <c r="K558">
        <v>183</v>
      </c>
      <c r="L558">
        <v>407</v>
      </c>
      <c r="M558">
        <v>2025</v>
      </c>
    </row>
    <row r="559" spans="1:13" x14ac:dyDescent="0.25">
      <c r="A559" t="s">
        <v>596</v>
      </c>
      <c r="B559" t="s">
        <v>13</v>
      </c>
      <c r="C559" s="1">
        <v>38365</v>
      </c>
      <c r="D559" s="8">
        <f ca="1">ROUND(YEARFRAC(NEET[[#This Row],[Date_of_Birth]],TODAY()),0)</f>
        <v>21</v>
      </c>
      <c r="E559" t="s">
        <v>42</v>
      </c>
      <c r="F559" t="s">
        <v>15</v>
      </c>
      <c r="G559" t="s">
        <v>16</v>
      </c>
      <c r="H559">
        <v>3</v>
      </c>
      <c r="I559">
        <v>63</v>
      </c>
      <c r="J559">
        <v>82</v>
      </c>
      <c r="K559">
        <v>130</v>
      </c>
      <c r="L559">
        <v>275</v>
      </c>
      <c r="M559">
        <v>2024</v>
      </c>
    </row>
    <row r="560" spans="1:13" x14ac:dyDescent="0.25">
      <c r="A560" t="s">
        <v>597</v>
      </c>
      <c r="B560" t="s">
        <v>13</v>
      </c>
      <c r="C560" s="1">
        <v>38287</v>
      </c>
      <c r="D560" s="8">
        <f ca="1">ROUND(YEARFRAC(NEET[[#This Row],[Date_of_Birth]],TODAY()),0)</f>
        <v>22</v>
      </c>
      <c r="E560" t="s">
        <v>48</v>
      </c>
      <c r="F560" t="s">
        <v>49</v>
      </c>
      <c r="G560" t="s">
        <v>22</v>
      </c>
      <c r="H560">
        <v>1</v>
      </c>
      <c r="I560">
        <v>67</v>
      </c>
      <c r="J560">
        <v>174</v>
      </c>
      <c r="K560">
        <v>140</v>
      </c>
      <c r="L560">
        <v>381</v>
      </c>
      <c r="M560">
        <v>2025</v>
      </c>
    </row>
    <row r="561" spans="1:13" x14ac:dyDescent="0.25">
      <c r="A561" t="s">
        <v>598</v>
      </c>
      <c r="B561" t="s">
        <v>20</v>
      </c>
      <c r="C561" s="1">
        <v>37122</v>
      </c>
      <c r="D561" s="8">
        <f ca="1">ROUND(YEARFRAC(NEET[[#This Row],[Date_of_Birth]],TODAY()),0)</f>
        <v>25</v>
      </c>
      <c r="E561" t="s">
        <v>36</v>
      </c>
      <c r="F561" t="s">
        <v>37</v>
      </c>
      <c r="G561" t="s">
        <v>29</v>
      </c>
      <c r="H561">
        <v>4</v>
      </c>
      <c r="I561">
        <v>37</v>
      </c>
      <c r="J561">
        <v>111</v>
      </c>
      <c r="K561">
        <v>271</v>
      </c>
      <c r="L561">
        <v>419</v>
      </c>
      <c r="M561">
        <v>2024</v>
      </c>
    </row>
    <row r="562" spans="1:13" x14ac:dyDescent="0.25">
      <c r="A562" t="s">
        <v>599</v>
      </c>
      <c r="B562" t="s">
        <v>20</v>
      </c>
      <c r="C562" s="1">
        <v>39717</v>
      </c>
      <c r="D562" s="8">
        <f ca="1">ROUND(YEARFRAC(NEET[[#This Row],[Date_of_Birth]],TODAY()),0)</f>
        <v>18</v>
      </c>
      <c r="E562" t="s">
        <v>62</v>
      </c>
      <c r="F562" t="s">
        <v>15</v>
      </c>
      <c r="G562" t="s">
        <v>16</v>
      </c>
      <c r="H562">
        <v>2</v>
      </c>
      <c r="I562">
        <v>57</v>
      </c>
      <c r="J562">
        <v>63</v>
      </c>
      <c r="K562">
        <v>154</v>
      </c>
      <c r="L562">
        <v>274</v>
      </c>
      <c r="M562">
        <v>2024</v>
      </c>
    </row>
    <row r="563" spans="1:13" x14ac:dyDescent="0.25">
      <c r="A563" t="s">
        <v>600</v>
      </c>
      <c r="B563" t="s">
        <v>13</v>
      </c>
      <c r="C563" s="1">
        <v>37471</v>
      </c>
      <c r="D563" s="8">
        <f ca="1">ROUND(YEARFRAC(NEET[[#This Row],[Date_of_Birth]],TODAY()),0)</f>
        <v>24</v>
      </c>
      <c r="E563" t="s">
        <v>21</v>
      </c>
      <c r="F563" t="s">
        <v>21</v>
      </c>
      <c r="G563" t="s">
        <v>29</v>
      </c>
      <c r="H563">
        <v>4</v>
      </c>
      <c r="I563">
        <v>36</v>
      </c>
      <c r="J563">
        <v>121</v>
      </c>
      <c r="K563">
        <v>100</v>
      </c>
      <c r="L563">
        <v>257</v>
      </c>
      <c r="M563">
        <v>2024</v>
      </c>
    </row>
    <row r="564" spans="1:13" x14ac:dyDescent="0.25">
      <c r="A564" t="s">
        <v>601</v>
      </c>
      <c r="B564" t="s">
        <v>13</v>
      </c>
      <c r="C564" s="1">
        <v>38113</v>
      </c>
      <c r="D564" s="8">
        <f ca="1">ROUND(YEARFRAC(NEET[[#This Row],[Date_of_Birth]],TODAY()),0)</f>
        <v>22</v>
      </c>
      <c r="E564" t="s">
        <v>73</v>
      </c>
      <c r="F564" t="s">
        <v>15</v>
      </c>
      <c r="G564" t="s">
        <v>34</v>
      </c>
      <c r="H564">
        <v>1</v>
      </c>
      <c r="I564">
        <v>151</v>
      </c>
      <c r="J564">
        <v>65</v>
      </c>
      <c r="K564">
        <v>143</v>
      </c>
      <c r="L564">
        <v>359</v>
      </c>
      <c r="M564">
        <v>2023</v>
      </c>
    </row>
    <row r="565" spans="1:13" x14ac:dyDescent="0.25">
      <c r="A565" t="s">
        <v>602</v>
      </c>
      <c r="B565" t="s">
        <v>13</v>
      </c>
      <c r="C565" s="1">
        <v>37631</v>
      </c>
      <c r="D565" s="8">
        <f ca="1">ROUND(YEARFRAC(NEET[[#This Row],[Date_of_Birth]],TODAY()),0)</f>
        <v>23</v>
      </c>
      <c r="E565" t="s">
        <v>18</v>
      </c>
      <c r="F565" t="s">
        <v>15</v>
      </c>
      <c r="G565" t="s">
        <v>16</v>
      </c>
      <c r="H565">
        <v>4</v>
      </c>
      <c r="I565">
        <v>86</v>
      </c>
      <c r="J565">
        <v>81</v>
      </c>
      <c r="K565">
        <v>164</v>
      </c>
      <c r="L565">
        <v>331</v>
      </c>
      <c r="M565">
        <v>2026</v>
      </c>
    </row>
    <row r="566" spans="1:13" x14ac:dyDescent="0.25">
      <c r="A566" t="s">
        <v>603</v>
      </c>
      <c r="B566" t="s">
        <v>13</v>
      </c>
      <c r="C566" s="1">
        <v>39343</v>
      </c>
      <c r="D566" s="8">
        <f ca="1">ROUND(YEARFRAC(NEET[[#This Row],[Date_of_Birth]],TODAY()),0)</f>
        <v>19</v>
      </c>
      <c r="E566" t="s">
        <v>46</v>
      </c>
      <c r="F566" t="s">
        <v>15</v>
      </c>
      <c r="G566" t="s">
        <v>29</v>
      </c>
      <c r="H566">
        <v>4</v>
      </c>
      <c r="I566">
        <v>147</v>
      </c>
      <c r="J566">
        <v>93</v>
      </c>
      <c r="K566">
        <v>278</v>
      </c>
      <c r="L566">
        <v>518</v>
      </c>
      <c r="M566">
        <v>2026</v>
      </c>
    </row>
    <row r="567" spans="1:13" x14ac:dyDescent="0.25">
      <c r="A567" t="s">
        <v>604</v>
      </c>
      <c r="B567" t="s">
        <v>13</v>
      </c>
      <c r="C567" s="1">
        <v>39030</v>
      </c>
      <c r="D567" s="8">
        <f ca="1">ROUND(YEARFRAC(NEET[[#This Row],[Date_of_Birth]],TODAY()),0)</f>
        <v>20</v>
      </c>
      <c r="E567" t="s">
        <v>36</v>
      </c>
      <c r="F567" t="s">
        <v>37</v>
      </c>
      <c r="G567" t="s">
        <v>34</v>
      </c>
      <c r="H567">
        <v>4</v>
      </c>
      <c r="I567">
        <v>176</v>
      </c>
      <c r="J567">
        <v>167</v>
      </c>
      <c r="K567">
        <v>328</v>
      </c>
      <c r="L567">
        <v>671</v>
      </c>
      <c r="M567">
        <v>2023</v>
      </c>
    </row>
    <row r="568" spans="1:13" x14ac:dyDescent="0.25">
      <c r="A568" t="s">
        <v>605</v>
      </c>
      <c r="B568" t="s">
        <v>13</v>
      </c>
      <c r="C568" s="1">
        <v>37532</v>
      </c>
      <c r="D568" s="8">
        <f ca="1">ROUND(YEARFRAC(NEET[[#This Row],[Date_of_Birth]],TODAY()),0)</f>
        <v>24</v>
      </c>
      <c r="E568" t="s">
        <v>42</v>
      </c>
      <c r="F568" t="s">
        <v>15</v>
      </c>
      <c r="G568" t="s">
        <v>29</v>
      </c>
      <c r="H568">
        <v>2</v>
      </c>
      <c r="I568">
        <v>167</v>
      </c>
      <c r="J568">
        <v>131</v>
      </c>
      <c r="K568">
        <v>80</v>
      </c>
      <c r="L568">
        <v>378</v>
      </c>
      <c r="M568">
        <v>2026</v>
      </c>
    </row>
    <row r="569" spans="1:13" x14ac:dyDescent="0.25">
      <c r="A569" t="s">
        <v>606</v>
      </c>
      <c r="B569" t="s">
        <v>20</v>
      </c>
      <c r="C569" s="1">
        <v>38156</v>
      </c>
      <c r="D569" s="8">
        <f ca="1">ROUND(YEARFRAC(NEET[[#This Row],[Date_of_Birth]],TODAY()),0)</f>
        <v>22</v>
      </c>
      <c r="E569" t="s">
        <v>48</v>
      </c>
      <c r="F569" t="s">
        <v>49</v>
      </c>
      <c r="G569" t="s">
        <v>16</v>
      </c>
      <c r="H569">
        <v>3</v>
      </c>
      <c r="I569">
        <v>107</v>
      </c>
      <c r="J569">
        <v>103</v>
      </c>
      <c r="K569">
        <v>296</v>
      </c>
      <c r="L569">
        <v>506</v>
      </c>
      <c r="M569">
        <v>2023</v>
      </c>
    </row>
    <row r="570" spans="1:13" x14ac:dyDescent="0.25">
      <c r="A570" t="s">
        <v>607</v>
      </c>
      <c r="B570" t="s">
        <v>13</v>
      </c>
      <c r="C570" s="1">
        <v>39352</v>
      </c>
      <c r="D570" s="8">
        <f ca="1">ROUND(YEARFRAC(NEET[[#This Row],[Date_of_Birth]],TODAY()),0)</f>
        <v>19</v>
      </c>
      <c r="E570" t="s">
        <v>42</v>
      </c>
      <c r="F570" t="s">
        <v>15</v>
      </c>
      <c r="G570" t="s">
        <v>16</v>
      </c>
      <c r="H570">
        <v>2</v>
      </c>
      <c r="I570">
        <v>66</v>
      </c>
      <c r="J570">
        <v>148</v>
      </c>
      <c r="K570">
        <v>291</v>
      </c>
      <c r="L570">
        <v>505</v>
      </c>
      <c r="M570">
        <v>2024</v>
      </c>
    </row>
    <row r="571" spans="1:13" x14ac:dyDescent="0.25">
      <c r="A571" t="s">
        <v>608</v>
      </c>
      <c r="B571" t="s">
        <v>20</v>
      </c>
      <c r="C571" s="1">
        <v>38136</v>
      </c>
      <c r="D571" s="8">
        <f ca="1">ROUND(YEARFRAC(NEET[[#This Row],[Date_of_Birth]],TODAY()),0)</f>
        <v>22</v>
      </c>
      <c r="E571" t="s">
        <v>18</v>
      </c>
      <c r="F571" t="s">
        <v>15</v>
      </c>
      <c r="G571" t="s">
        <v>34</v>
      </c>
      <c r="H571">
        <v>2</v>
      </c>
      <c r="I571">
        <v>112</v>
      </c>
      <c r="J571">
        <v>145</v>
      </c>
      <c r="K571">
        <v>72</v>
      </c>
      <c r="L571">
        <v>329</v>
      </c>
      <c r="M571">
        <v>2023</v>
      </c>
    </row>
    <row r="572" spans="1:13" x14ac:dyDescent="0.25">
      <c r="A572" t="s">
        <v>609</v>
      </c>
      <c r="B572" t="s">
        <v>20</v>
      </c>
      <c r="C572" s="1">
        <v>37550</v>
      </c>
      <c r="D572" s="8">
        <f ca="1">ROUND(YEARFRAC(NEET[[#This Row],[Date_of_Birth]],TODAY()),0)</f>
        <v>24</v>
      </c>
      <c r="E572" t="s">
        <v>46</v>
      </c>
      <c r="F572" t="s">
        <v>15</v>
      </c>
      <c r="G572" t="s">
        <v>25</v>
      </c>
      <c r="H572">
        <v>3</v>
      </c>
      <c r="I572">
        <v>71</v>
      </c>
      <c r="J572">
        <v>61</v>
      </c>
      <c r="K572">
        <v>106</v>
      </c>
      <c r="L572">
        <v>238</v>
      </c>
      <c r="M572">
        <v>2026</v>
      </c>
    </row>
    <row r="573" spans="1:13" x14ac:dyDescent="0.25">
      <c r="A573" t="s">
        <v>610</v>
      </c>
      <c r="B573" t="s">
        <v>13</v>
      </c>
      <c r="C573" s="1">
        <v>39503</v>
      </c>
      <c r="D573" s="8">
        <f ca="1">ROUND(YEARFRAC(NEET[[#This Row],[Date_of_Birth]],TODAY()),0)</f>
        <v>18</v>
      </c>
      <c r="E573" t="s">
        <v>69</v>
      </c>
      <c r="F573" t="s">
        <v>70</v>
      </c>
      <c r="G573" t="s">
        <v>29</v>
      </c>
      <c r="H573">
        <v>2</v>
      </c>
      <c r="I573">
        <v>160</v>
      </c>
      <c r="J573">
        <v>70</v>
      </c>
      <c r="K573">
        <v>253</v>
      </c>
      <c r="L573">
        <v>483</v>
      </c>
      <c r="M573">
        <v>2024</v>
      </c>
    </row>
    <row r="574" spans="1:13" x14ac:dyDescent="0.25">
      <c r="A574" t="s">
        <v>611</v>
      </c>
      <c r="B574" t="s">
        <v>20</v>
      </c>
      <c r="C574" s="1">
        <v>37190</v>
      </c>
      <c r="D574" s="8">
        <f ca="1">ROUND(YEARFRAC(NEET[[#This Row],[Date_of_Birth]],TODAY()),0)</f>
        <v>25</v>
      </c>
      <c r="E574" t="s">
        <v>31</v>
      </c>
      <c r="F574" t="s">
        <v>32</v>
      </c>
      <c r="G574" t="s">
        <v>34</v>
      </c>
      <c r="H574">
        <v>3</v>
      </c>
      <c r="I574">
        <v>67</v>
      </c>
      <c r="J574">
        <v>75</v>
      </c>
      <c r="K574">
        <v>86</v>
      </c>
      <c r="L574">
        <v>228</v>
      </c>
      <c r="M574">
        <v>2025</v>
      </c>
    </row>
    <row r="575" spans="1:13" x14ac:dyDescent="0.25">
      <c r="A575" t="s">
        <v>612</v>
      </c>
      <c r="B575" t="s">
        <v>20</v>
      </c>
      <c r="C575" s="1">
        <v>39091</v>
      </c>
      <c r="D575" s="8">
        <f ca="1">ROUND(YEARFRAC(NEET[[#This Row],[Date_of_Birth]],TODAY()),0)</f>
        <v>19</v>
      </c>
      <c r="E575" t="s">
        <v>40</v>
      </c>
      <c r="F575" t="s">
        <v>15</v>
      </c>
      <c r="G575" t="s">
        <v>34</v>
      </c>
      <c r="H575">
        <v>1</v>
      </c>
      <c r="I575">
        <v>60</v>
      </c>
      <c r="J575">
        <v>63</v>
      </c>
      <c r="K575">
        <v>163</v>
      </c>
      <c r="L575">
        <v>286</v>
      </c>
      <c r="M575">
        <v>2026</v>
      </c>
    </row>
    <row r="576" spans="1:13" x14ac:dyDescent="0.25">
      <c r="A576" t="s">
        <v>613</v>
      </c>
      <c r="B576" t="s">
        <v>20</v>
      </c>
      <c r="C576" s="1">
        <v>38568</v>
      </c>
      <c r="D576" s="8">
        <f ca="1">ROUND(YEARFRAC(NEET[[#This Row],[Date_of_Birth]],TODAY()),0)</f>
        <v>21</v>
      </c>
      <c r="E576" t="s">
        <v>42</v>
      </c>
      <c r="F576" t="s">
        <v>15</v>
      </c>
      <c r="G576" t="s">
        <v>34</v>
      </c>
      <c r="H576">
        <v>4</v>
      </c>
      <c r="I576">
        <v>31</v>
      </c>
      <c r="J576">
        <v>156</v>
      </c>
      <c r="K576">
        <v>181</v>
      </c>
      <c r="L576">
        <v>368</v>
      </c>
      <c r="M576">
        <v>2026</v>
      </c>
    </row>
    <row r="577" spans="1:13" x14ac:dyDescent="0.25">
      <c r="A577" t="s">
        <v>614</v>
      </c>
      <c r="B577" t="s">
        <v>13</v>
      </c>
      <c r="C577" s="1">
        <v>36851</v>
      </c>
      <c r="D577" s="8">
        <f ca="1">ROUND(YEARFRAC(NEET[[#This Row],[Date_of_Birth]],TODAY()),0)</f>
        <v>25</v>
      </c>
      <c r="E577" t="s">
        <v>27</v>
      </c>
      <c r="F577" t="s">
        <v>15</v>
      </c>
      <c r="G577" t="s">
        <v>22</v>
      </c>
      <c r="H577">
        <v>1</v>
      </c>
      <c r="I577">
        <v>31</v>
      </c>
      <c r="J577">
        <v>92</v>
      </c>
      <c r="K577">
        <v>340</v>
      </c>
      <c r="L577">
        <v>463</v>
      </c>
      <c r="M577">
        <v>2024</v>
      </c>
    </row>
    <row r="578" spans="1:13" x14ac:dyDescent="0.25">
      <c r="A578" t="s">
        <v>615</v>
      </c>
      <c r="B578" t="s">
        <v>20</v>
      </c>
      <c r="C578" s="1">
        <v>36751</v>
      </c>
      <c r="D578" s="8">
        <f ca="1">ROUND(YEARFRAC(NEET[[#This Row],[Date_of_Birth]],TODAY()),0)</f>
        <v>26</v>
      </c>
      <c r="E578" t="s">
        <v>21</v>
      </c>
      <c r="F578" t="s">
        <v>21</v>
      </c>
      <c r="G578" t="s">
        <v>25</v>
      </c>
      <c r="H578">
        <v>3</v>
      </c>
      <c r="I578">
        <v>119</v>
      </c>
      <c r="J578">
        <v>39</v>
      </c>
      <c r="K578">
        <v>134</v>
      </c>
      <c r="L578">
        <v>292</v>
      </c>
      <c r="M578">
        <v>2023</v>
      </c>
    </row>
    <row r="579" spans="1:13" x14ac:dyDescent="0.25">
      <c r="A579" t="s">
        <v>616</v>
      </c>
      <c r="B579" t="s">
        <v>20</v>
      </c>
      <c r="C579" s="1">
        <v>36972</v>
      </c>
      <c r="D579" s="8">
        <f ca="1">ROUND(YEARFRAC(NEET[[#This Row],[Date_of_Birth]],TODAY()),0)</f>
        <v>25</v>
      </c>
      <c r="E579" t="s">
        <v>18</v>
      </c>
      <c r="F579" t="s">
        <v>15</v>
      </c>
      <c r="G579" t="s">
        <v>25</v>
      </c>
      <c r="H579">
        <v>3</v>
      </c>
      <c r="I579">
        <v>75</v>
      </c>
      <c r="J579">
        <v>71</v>
      </c>
      <c r="K579">
        <v>205</v>
      </c>
      <c r="L579">
        <v>351</v>
      </c>
      <c r="M579">
        <v>2023</v>
      </c>
    </row>
    <row r="580" spans="1:13" x14ac:dyDescent="0.25">
      <c r="A580" t="s">
        <v>617</v>
      </c>
      <c r="B580" t="s">
        <v>20</v>
      </c>
      <c r="C580" s="1">
        <v>39673</v>
      </c>
      <c r="D580" s="8">
        <f ca="1">ROUND(YEARFRAC(NEET[[#This Row],[Date_of_Birth]],TODAY()),0)</f>
        <v>18</v>
      </c>
      <c r="E580" t="s">
        <v>24</v>
      </c>
      <c r="F580" t="s">
        <v>15</v>
      </c>
      <c r="G580" t="s">
        <v>29</v>
      </c>
      <c r="H580">
        <v>1</v>
      </c>
      <c r="I580">
        <v>112</v>
      </c>
      <c r="J580">
        <v>124</v>
      </c>
      <c r="K580">
        <v>254</v>
      </c>
      <c r="L580">
        <v>490</v>
      </c>
      <c r="M580">
        <v>2026</v>
      </c>
    </row>
    <row r="581" spans="1:13" x14ac:dyDescent="0.25">
      <c r="A581" t="s">
        <v>618</v>
      </c>
      <c r="B581" t="s">
        <v>13</v>
      </c>
      <c r="C581" s="1">
        <v>37077</v>
      </c>
      <c r="D581" s="8">
        <f ca="1">ROUND(YEARFRAC(NEET[[#This Row],[Date_of_Birth]],TODAY()),0)</f>
        <v>25</v>
      </c>
      <c r="E581" t="s">
        <v>14</v>
      </c>
      <c r="F581" t="s">
        <v>15</v>
      </c>
      <c r="G581" t="s">
        <v>16</v>
      </c>
      <c r="H581">
        <v>2</v>
      </c>
      <c r="I581">
        <v>100</v>
      </c>
      <c r="J581">
        <v>114</v>
      </c>
      <c r="K581">
        <v>329</v>
      </c>
      <c r="L581">
        <v>543</v>
      </c>
      <c r="M581">
        <v>2023</v>
      </c>
    </row>
    <row r="582" spans="1:13" x14ac:dyDescent="0.25">
      <c r="A582" t="s">
        <v>619</v>
      </c>
      <c r="B582" t="s">
        <v>20</v>
      </c>
      <c r="C582" s="1">
        <v>36973</v>
      </c>
      <c r="D582" s="8">
        <f ca="1">ROUND(YEARFRAC(NEET[[#This Row],[Date_of_Birth]],TODAY()),0)</f>
        <v>25</v>
      </c>
      <c r="E582" t="s">
        <v>27</v>
      </c>
      <c r="F582" t="s">
        <v>15</v>
      </c>
      <c r="G582" t="s">
        <v>29</v>
      </c>
      <c r="H582">
        <v>3</v>
      </c>
      <c r="I582">
        <v>165</v>
      </c>
      <c r="J582">
        <v>52</v>
      </c>
      <c r="K582">
        <v>307</v>
      </c>
      <c r="L582">
        <v>524</v>
      </c>
      <c r="M582">
        <v>2025</v>
      </c>
    </row>
    <row r="583" spans="1:13" x14ac:dyDescent="0.25">
      <c r="A583" t="s">
        <v>620</v>
      </c>
      <c r="B583" t="s">
        <v>20</v>
      </c>
      <c r="C583" s="1">
        <v>37057</v>
      </c>
      <c r="D583" s="8">
        <f ca="1">ROUND(YEARFRAC(NEET[[#This Row],[Date_of_Birth]],TODAY()),0)</f>
        <v>25</v>
      </c>
      <c r="E583" t="s">
        <v>27</v>
      </c>
      <c r="F583" t="s">
        <v>15</v>
      </c>
      <c r="G583" t="s">
        <v>16</v>
      </c>
      <c r="H583">
        <v>2</v>
      </c>
      <c r="I583">
        <v>174</v>
      </c>
      <c r="J583">
        <v>157</v>
      </c>
      <c r="K583">
        <v>326</v>
      </c>
      <c r="L583">
        <v>657</v>
      </c>
      <c r="M583">
        <v>2024</v>
      </c>
    </row>
    <row r="584" spans="1:13" x14ac:dyDescent="0.25">
      <c r="A584" t="s">
        <v>621</v>
      </c>
      <c r="B584" t="s">
        <v>20</v>
      </c>
      <c r="C584" s="1">
        <v>39428</v>
      </c>
      <c r="D584" s="8">
        <f ca="1">ROUND(YEARFRAC(NEET[[#This Row],[Date_of_Birth]],TODAY()),0)</f>
        <v>18</v>
      </c>
      <c r="E584" t="s">
        <v>24</v>
      </c>
      <c r="F584" t="s">
        <v>15</v>
      </c>
      <c r="G584" t="s">
        <v>22</v>
      </c>
      <c r="H584">
        <v>1</v>
      </c>
      <c r="I584">
        <v>79</v>
      </c>
      <c r="J584">
        <v>30</v>
      </c>
      <c r="K584">
        <v>120</v>
      </c>
      <c r="L584">
        <v>229</v>
      </c>
      <c r="M584">
        <v>2026</v>
      </c>
    </row>
    <row r="585" spans="1:13" x14ac:dyDescent="0.25">
      <c r="A585" t="s">
        <v>622</v>
      </c>
      <c r="B585" t="s">
        <v>13</v>
      </c>
      <c r="C585" s="1">
        <v>38221</v>
      </c>
      <c r="D585" s="8">
        <f ca="1">ROUND(YEARFRAC(NEET[[#This Row],[Date_of_Birth]],TODAY()),0)</f>
        <v>22</v>
      </c>
      <c r="E585" t="s">
        <v>53</v>
      </c>
      <c r="F585" t="s">
        <v>15</v>
      </c>
      <c r="G585" t="s">
        <v>29</v>
      </c>
      <c r="H585">
        <v>2</v>
      </c>
      <c r="I585">
        <v>115</v>
      </c>
      <c r="J585">
        <v>119</v>
      </c>
      <c r="K585">
        <v>346</v>
      </c>
      <c r="L585">
        <v>580</v>
      </c>
      <c r="M585">
        <v>2025</v>
      </c>
    </row>
    <row r="586" spans="1:13" x14ac:dyDescent="0.25">
      <c r="A586" t="s">
        <v>623</v>
      </c>
      <c r="B586" t="s">
        <v>13</v>
      </c>
      <c r="C586" s="1">
        <v>39762</v>
      </c>
      <c r="D586" s="8">
        <f ca="1">ROUND(YEARFRAC(NEET[[#This Row],[Date_of_Birth]],TODAY()),0)</f>
        <v>18</v>
      </c>
      <c r="E586" t="s">
        <v>14</v>
      </c>
      <c r="F586" t="s">
        <v>15</v>
      </c>
      <c r="G586" t="s">
        <v>29</v>
      </c>
      <c r="H586">
        <v>1</v>
      </c>
      <c r="I586">
        <v>108</v>
      </c>
      <c r="J586">
        <v>106</v>
      </c>
      <c r="K586">
        <v>319</v>
      </c>
      <c r="L586">
        <v>533</v>
      </c>
      <c r="M586">
        <v>2025</v>
      </c>
    </row>
    <row r="587" spans="1:13" x14ac:dyDescent="0.25">
      <c r="A587" t="s">
        <v>624</v>
      </c>
      <c r="B587" t="s">
        <v>20</v>
      </c>
      <c r="C587" s="1">
        <v>38148</v>
      </c>
      <c r="D587" s="8">
        <f ca="1">ROUND(YEARFRAC(NEET[[#This Row],[Date_of_Birth]],TODAY()),0)</f>
        <v>22</v>
      </c>
      <c r="E587" t="s">
        <v>36</v>
      </c>
      <c r="F587" t="s">
        <v>37</v>
      </c>
      <c r="G587" t="s">
        <v>34</v>
      </c>
      <c r="H587">
        <v>3</v>
      </c>
      <c r="I587">
        <v>175</v>
      </c>
      <c r="J587">
        <v>37</v>
      </c>
      <c r="K587">
        <v>149</v>
      </c>
      <c r="L587">
        <v>361</v>
      </c>
      <c r="M587">
        <v>2026</v>
      </c>
    </row>
    <row r="588" spans="1:13" x14ac:dyDescent="0.25">
      <c r="A588" t="s">
        <v>625</v>
      </c>
      <c r="B588" t="s">
        <v>20</v>
      </c>
      <c r="C588" s="1">
        <v>39791</v>
      </c>
      <c r="D588" s="8">
        <f ca="1">ROUND(YEARFRAC(NEET[[#This Row],[Date_of_Birth]],TODAY()),0)</f>
        <v>17</v>
      </c>
      <c r="E588" t="s">
        <v>53</v>
      </c>
      <c r="F588" t="s">
        <v>15</v>
      </c>
      <c r="G588" t="s">
        <v>34</v>
      </c>
      <c r="H588">
        <v>4</v>
      </c>
      <c r="I588">
        <v>64</v>
      </c>
      <c r="J588">
        <v>153</v>
      </c>
      <c r="K588">
        <v>139</v>
      </c>
      <c r="L588">
        <v>356</v>
      </c>
      <c r="M588">
        <v>2023</v>
      </c>
    </row>
    <row r="589" spans="1:13" x14ac:dyDescent="0.25">
      <c r="A589" t="s">
        <v>626</v>
      </c>
      <c r="B589" t="s">
        <v>13</v>
      </c>
      <c r="C589" s="1">
        <v>38660</v>
      </c>
      <c r="D589" s="8">
        <f ca="1">ROUND(YEARFRAC(NEET[[#This Row],[Date_of_Birth]],TODAY()),0)</f>
        <v>21</v>
      </c>
      <c r="E589" t="s">
        <v>24</v>
      </c>
      <c r="F589" t="s">
        <v>15</v>
      </c>
      <c r="G589" t="s">
        <v>29</v>
      </c>
      <c r="H589">
        <v>3</v>
      </c>
      <c r="I589">
        <v>174</v>
      </c>
      <c r="J589">
        <v>110</v>
      </c>
      <c r="K589">
        <v>344</v>
      </c>
      <c r="L589">
        <v>628</v>
      </c>
      <c r="M589">
        <v>2023</v>
      </c>
    </row>
    <row r="590" spans="1:13" x14ac:dyDescent="0.25">
      <c r="A590" t="s">
        <v>627</v>
      </c>
      <c r="B590" t="s">
        <v>20</v>
      </c>
      <c r="C590" s="1">
        <v>37137</v>
      </c>
      <c r="D590" s="8">
        <f ca="1">ROUND(YEARFRAC(NEET[[#This Row],[Date_of_Birth]],TODAY()),0)</f>
        <v>25</v>
      </c>
      <c r="E590" t="s">
        <v>24</v>
      </c>
      <c r="F590" t="s">
        <v>15</v>
      </c>
      <c r="G590" t="s">
        <v>16</v>
      </c>
      <c r="H590">
        <v>2</v>
      </c>
      <c r="I590">
        <v>37</v>
      </c>
      <c r="J590">
        <v>116</v>
      </c>
      <c r="K590">
        <v>252</v>
      </c>
      <c r="L590">
        <v>405</v>
      </c>
      <c r="M590">
        <v>2023</v>
      </c>
    </row>
    <row r="591" spans="1:13" x14ac:dyDescent="0.25">
      <c r="A591" t="s">
        <v>628</v>
      </c>
      <c r="B591" t="s">
        <v>20</v>
      </c>
      <c r="C591" s="1">
        <v>39730</v>
      </c>
      <c r="D591" s="8">
        <f ca="1">ROUND(YEARFRAC(NEET[[#This Row],[Date_of_Birth]],TODAY()),0)</f>
        <v>18</v>
      </c>
      <c r="E591" t="s">
        <v>69</v>
      </c>
      <c r="F591" t="s">
        <v>70</v>
      </c>
      <c r="G591" t="s">
        <v>34</v>
      </c>
      <c r="H591">
        <v>1</v>
      </c>
      <c r="I591">
        <v>108</v>
      </c>
      <c r="J591">
        <v>110</v>
      </c>
      <c r="K591">
        <v>76</v>
      </c>
      <c r="L591">
        <v>294</v>
      </c>
      <c r="M591">
        <v>2024</v>
      </c>
    </row>
    <row r="592" spans="1:13" x14ac:dyDescent="0.25">
      <c r="A592" t="s">
        <v>629</v>
      </c>
      <c r="B592" t="s">
        <v>13</v>
      </c>
      <c r="C592" s="1">
        <v>38048</v>
      </c>
      <c r="D592" s="8">
        <f ca="1">ROUND(YEARFRAC(NEET[[#This Row],[Date_of_Birth]],TODAY()),0)</f>
        <v>22</v>
      </c>
      <c r="E592" t="s">
        <v>73</v>
      </c>
      <c r="F592" t="s">
        <v>15</v>
      </c>
      <c r="G592" t="s">
        <v>29</v>
      </c>
      <c r="H592">
        <v>1</v>
      </c>
      <c r="I592">
        <v>107</v>
      </c>
      <c r="J592">
        <v>85</v>
      </c>
      <c r="K592">
        <v>328</v>
      </c>
      <c r="L592">
        <v>520</v>
      </c>
      <c r="M592">
        <v>2023</v>
      </c>
    </row>
    <row r="593" spans="1:13" x14ac:dyDescent="0.25">
      <c r="A593" t="s">
        <v>630</v>
      </c>
      <c r="B593" t="s">
        <v>20</v>
      </c>
      <c r="C593" s="1">
        <v>39711</v>
      </c>
      <c r="D593" s="8">
        <f ca="1">ROUND(YEARFRAC(NEET[[#This Row],[Date_of_Birth]],TODAY()),0)</f>
        <v>18</v>
      </c>
      <c r="E593" t="s">
        <v>62</v>
      </c>
      <c r="F593" t="s">
        <v>15</v>
      </c>
      <c r="G593" t="s">
        <v>22</v>
      </c>
      <c r="H593">
        <v>2</v>
      </c>
      <c r="I593">
        <v>53</v>
      </c>
      <c r="J593">
        <v>143</v>
      </c>
      <c r="K593">
        <v>319</v>
      </c>
      <c r="L593">
        <v>515</v>
      </c>
      <c r="M593">
        <v>2025</v>
      </c>
    </row>
    <row r="594" spans="1:13" x14ac:dyDescent="0.25">
      <c r="A594" t="s">
        <v>631</v>
      </c>
      <c r="B594" t="s">
        <v>13</v>
      </c>
      <c r="C594" s="1">
        <v>38506</v>
      </c>
      <c r="D594" s="8">
        <f ca="1">ROUND(YEARFRAC(NEET[[#This Row],[Date_of_Birth]],TODAY()),0)</f>
        <v>21</v>
      </c>
      <c r="E594" t="s">
        <v>36</v>
      </c>
      <c r="F594" t="s">
        <v>37</v>
      </c>
      <c r="G594" t="s">
        <v>22</v>
      </c>
      <c r="H594">
        <v>2</v>
      </c>
      <c r="I594">
        <v>164</v>
      </c>
      <c r="J594">
        <v>109</v>
      </c>
      <c r="K594">
        <v>227</v>
      </c>
      <c r="L594">
        <v>500</v>
      </c>
      <c r="M594">
        <v>2023</v>
      </c>
    </row>
    <row r="595" spans="1:13" x14ac:dyDescent="0.25">
      <c r="A595" t="s">
        <v>632</v>
      </c>
      <c r="B595" t="s">
        <v>13</v>
      </c>
      <c r="C595" s="1">
        <v>38407</v>
      </c>
      <c r="D595" s="8">
        <f ca="1">ROUND(YEARFRAC(NEET[[#This Row],[Date_of_Birth]],TODAY()),0)</f>
        <v>21</v>
      </c>
      <c r="E595" t="s">
        <v>18</v>
      </c>
      <c r="F595" t="s">
        <v>15</v>
      </c>
      <c r="G595" t="s">
        <v>29</v>
      </c>
      <c r="H595">
        <v>1</v>
      </c>
      <c r="I595">
        <v>163</v>
      </c>
      <c r="J595">
        <v>59</v>
      </c>
      <c r="K595">
        <v>62</v>
      </c>
      <c r="L595">
        <v>284</v>
      </c>
      <c r="M595">
        <v>2026</v>
      </c>
    </row>
    <row r="596" spans="1:13" x14ac:dyDescent="0.25">
      <c r="A596" t="s">
        <v>633</v>
      </c>
      <c r="B596" t="s">
        <v>13</v>
      </c>
      <c r="C596" s="1">
        <v>36714</v>
      </c>
      <c r="D596" s="8">
        <f ca="1">ROUND(YEARFRAC(NEET[[#This Row],[Date_of_Birth]],TODAY()),0)</f>
        <v>26</v>
      </c>
      <c r="E596" t="s">
        <v>14</v>
      </c>
      <c r="F596" t="s">
        <v>15</v>
      </c>
      <c r="G596" t="s">
        <v>22</v>
      </c>
      <c r="H596">
        <v>3</v>
      </c>
      <c r="I596">
        <v>163</v>
      </c>
      <c r="J596">
        <v>109</v>
      </c>
      <c r="K596">
        <v>71</v>
      </c>
      <c r="L596">
        <v>343</v>
      </c>
      <c r="M596">
        <v>2024</v>
      </c>
    </row>
    <row r="597" spans="1:13" x14ac:dyDescent="0.25">
      <c r="A597" t="s">
        <v>634</v>
      </c>
      <c r="B597" t="s">
        <v>20</v>
      </c>
      <c r="C597" s="1">
        <v>37699</v>
      </c>
      <c r="D597" s="8">
        <f ca="1">ROUND(YEARFRAC(NEET[[#This Row],[Date_of_Birth]],TODAY()),0)</f>
        <v>23</v>
      </c>
      <c r="E597" t="s">
        <v>24</v>
      </c>
      <c r="F597" t="s">
        <v>15</v>
      </c>
      <c r="G597" t="s">
        <v>22</v>
      </c>
      <c r="H597">
        <v>2</v>
      </c>
      <c r="I597">
        <v>166</v>
      </c>
      <c r="J597">
        <v>111</v>
      </c>
      <c r="K597">
        <v>285</v>
      </c>
      <c r="L597">
        <v>562</v>
      </c>
      <c r="M597">
        <v>2025</v>
      </c>
    </row>
    <row r="598" spans="1:13" x14ac:dyDescent="0.25">
      <c r="A598" t="s">
        <v>635</v>
      </c>
      <c r="B598" t="s">
        <v>20</v>
      </c>
      <c r="C598" s="1">
        <v>36994</v>
      </c>
      <c r="D598" s="8">
        <f ca="1">ROUND(YEARFRAC(NEET[[#This Row],[Date_of_Birth]],TODAY()),0)</f>
        <v>25</v>
      </c>
      <c r="E598" t="s">
        <v>53</v>
      </c>
      <c r="F598" t="s">
        <v>15</v>
      </c>
      <c r="G598" t="s">
        <v>29</v>
      </c>
      <c r="H598">
        <v>3</v>
      </c>
      <c r="I598">
        <v>173</v>
      </c>
      <c r="J598">
        <v>161</v>
      </c>
      <c r="K598">
        <v>112</v>
      </c>
      <c r="L598">
        <v>446</v>
      </c>
      <c r="M598">
        <v>2024</v>
      </c>
    </row>
    <row r="599" spans="1:13" x14ac:dyDescent="0.25">
      <c r="A599" t="s">
        <v>636</v>
      </c>
      <c r="B599" t="s">
        <v>13</v>
      </c>
      <c r="C599" s="1">
        <v>39411</v>
      </c>
      <c r="D599" s="8">
        <f ca="1">ROUND(YEARFRAC(NEET[[#This Row],[Date_of_Birth]],TODAY()),0)</f>
        <v>18</v>
      </c>
      <c r="E599" t="s">
        <v>69</v>
      </c>
      <c r="F599" t="s">
        <v>70</v>
      </c>
      <c r="G599" t="s">
        <v>16</v>
      </c>
      <c r="H599">
        <v>3</v>
      </c>
      <c r="I599">
        <v>102</v>
      </c>
      <c r="J599">
        <v>176</v>
      </c>
      <c r="K599">
        <v>185</v>
      </c>
      <c r="L599">
        <v>463</v>
      </c>
      <c r="M599">
        <v>2025</v>
      </c>
    </row>
    <row r="600" spans="1:13" x14ac:dyDescent="0.25">
      <c r="A600" t="s">
        <v>637</v>
      </c>
      <c r="B600" t="s">
        <v>13</v>
      </c>
      <c r="C600" s="1">
        <v>38740</v>
      </c>
      <c r="D600" s="8">
        <f ca="1">ROUND(YEARFRAC(NEET[[#This Row],[Date_of_Birth]],TODAY()),0)</f>
        <v>20</v>
      </c>
      <c r="E600" t="s">
        <v>73</v>
      </c>
      <c r="F600" t="s">
        <v>15</v>
      </c>
      <c r="G600" t="s">
        <v>34</v>
      </c>
      <c r="H600">
        <v>1</v>
      </c>
      <c r="I600">
        <v>42</v>
      </c>
      <c r="J600">
        <v>63</v>
      </c>
      <c r="K600">
        <v>74</v>
      </c>
      <c r="L600">
        <v>179</v>
      </c>
      <c r="M600">
        <v>2023</v>
      </c>
    </row>
    <row r="601" spans="1:13" x14ac:dyDescent="0.25">
      <c r="A601" t="s">
        <v>638</v>
      </c>
      <c r="B601" t="s">
        <v>20</v>
      </c>
      <c r="C601" s="1">
        <v>36878</v>
      </c>
      <c r="D601" s="8">
        <f ca="1">ROUND(YEARFRAC(NEET[[#This Row],[Date_of_Birth]],TODAY()),0)</f>
        <v>25</v>
      </c>
      <c r="E601" t="s">
        <v>18</v>
      </c>
      <c r="F601" t="s">
        <v>15</v>
      </c>
      <c r="G601" t="s">
        <v>22</v>
      </c>
      <c r="H601">
        <v>3</v>
      </c>
      <c r="I601">
        <v>130</v>
      </c>
      <c r="J601">
        <v>75</v>
      </c>
      <c r="K601">
        <v>288</v>
      </c>
      <c r="L601">
        <v>493</v>
      </c>
      <c r="M601">
        <v>2023</v>
      </c>
    </row>
    <row r="602" spans="1:13" x14ac:dyDescent="0.25">
      <c r="A602" t="s">
        <v>639</v>
      </c>
      <c r="B602" t="s">
        <v>20</v>
      </c>
      <c r="C602" s="1">
        <v>39621</v>
      </c>
      <c r="D602" s="8">
        <f ca="1">ROUND(YEARFRAC(NEET[[#This Row],[Date_of_Birth]],TODAY()),0)</f>
        <v>18</v>
      </c>
      <c r="E602" t="s">
        <v>69</v>
      </c>
      <c r="F602" t="s">
        <v>70</v>
      </c>
      <c r="G602" t="s">
        <v>34</v>
      </c>
      <c r="H602">
        <v>1</v>
      </c>
      <c r="I602">
        <v>149</v>
      </c>
      <c r="J602">
        <v>175</v>
      </c>
      <c r="K602">
        <v>127</v>
      </c>
      <c r="L602">
        <v>451</v>
      </c>
      <c r="M602">
        <v>2025</v>
      </c>
    </row>
    <row r="603" spans="1:13" x14ac:dyDescent="0.25">
      <c r="A603" t="s">
        <v>640</v>
      </c>
      <c r="B603" t="s">
        <v>13</v>
      </c>
      <c r="C603" s="1">
        <v>39329</v>
      </c>
      <c r="D603" s="8">
        <f ca="1">ROUND(YEARFRAC(NEET[[#This Row],[Date_of_Birth]],TODAY()),0)</f>
        <v>19</v>
      </c>
      <c r="E603" t="s">
        <v>21</v>
      </c>
      <c r="F603" t="s">
        <v>21</v>
      </c>
      <c r="G603" t="s">
        <v>29</v>
      </c>
      <c r="H603">
        <v>3</v>
      </c>
      <c r="I603">
        <v>149</v>
      </c>
      <c r="J603">
        <v>150</v>
      </c>
      <c r="K603">
        <v>178</v>
      </c>
      <c r="L603">
        <v>477</v>
      </c>
      <c r="M603">
        <v>2026</v>
      </c>
    </row>
    <row r="604" spans="1:13" x14ac:dyDescent="0.25">
      <c r="A604" t="s">
        <v>641</v>
      </c>
      <c r="B604" t="s">
        <v>13</v>
      </c>
      <c r="C604" s="1">
        <v>37277</v>
      </c>
      <c r="D604" s="8">
        <f ca="1">ROUND(YEARFRAC(NEET[[#This Row],[Date_of_Birth]],TODAY()),0)</f>
        <v>24</v>
      </c>
      <c r="E604" t="s">
        <v>36</v>
      </c>
      <c r="F604" t="s">
        <v>37</v>
      </c>
      <c r="G604" t="s">
        <v>34</v>
      </c>
      <c r="H604">
        <v>1</v>
      </c>
      <c r="I604">
        <v>114</v>
      </c>
      <c r="J604">
        <v>113</v>
      </c>
      <c r="K604">
        <v>292</v>
      </c>
      <c r="L604">
        <v>519</v>
      </c>
      <c r="M604">
        <v>2023</v>
      </c>
    </row>
    <row r="605" spans="1:13" x14ac:dyDescent="0.25">
      <c r="A605" t="s">
        <v>642</v>
      </c>
      <c r="B605" t="s">
        <v>13</v>
      </c>
      <c r="C605" s="1">
        <v>37965</v>
      </c>
      <c r="D605" s="8">
        <f ca="1">ROUND(YEARFRAC(NEET[[#This Row],[Date_of_Birth]],TODAY()),0)</f>
        <v>22</v>
      </c>
      <c r="E605" t="s">
        <v>73</v>
      </c>
      <c r="F605" t="s">
        <v>15</v>
      </c>
      <c r="G605" t="s">
        <v>34</v>
      </c>
      <c r="H605">
        <v>1</v>
      </c>
      <c r="I605">
        <v>148</v>
      </c>
      <c r="J605">
        <v>73</v>
      </c>
      <c r="K605">
        <v>204</v>
      </c>
      <c r="L605">
        <v>425</v>
      </c>
      <c r="M605">
        <v>2023</v>
      </c>
    </row>
    <row r="606" spans="1:13" x14ac:dyDescent="0.25">
      <c r="A606" t="s">
        <v>643</v>
      </c>
      <c r="B606" t="s">
        <v>20</v>
      </c>
      <c r="C606" s="1">
        <v>37860</v>
      </c>
      <c r="D606" s="8">
        <f ca="1">ROUND(YEARFRAC(NEET[[#This Row],[Date_of_Birth]],TODAY()),0)</f>
        <v>23</v>
      </c>
      <c r="E606" t="s">
        <v>42</v>
      </c>
      <c r="F606" t="s">
        <v>15</v>
      </c>
      <c r="G606" t="s">
        <v>22</v>
      </c>
      <c r="H606">
        <v>4</v>
      </c>
      <c r="I606">
        <v>48</v>
      </c>
      <c r="J606">
        <v>107</v>
      </c>
      <c r="K606">
        <v>332</v>
      </c>
      <c r="L606">
        <v>487</v>
      </c>
      <c r="M606">
        <v>2024</v>
      </c>
    </row>
    <row r="607" spans="1:13" x14ac:dyDescent="0.25">
      <c r="A607" t="s">
        <v>644</v>
      </c>
      <c r="B607" t="s">
        <v>13</v>
      </c>
      <c r="C607" s="1">
        <v>38770</v>
      </c>
      <c r="D607" s="8">
        <f ca="1">ROUND(YEARFRAC(NEET[[#This Row],[Date_of_Birth]],TODAY()),0)</f>
        <v>20</v>
      </c>
      <c r="E607" t="s">
        <v>40</v>
      </c>
      <c r="F607" t="s">
        <v>15</v>
      </c>
      <c r="G607" t="s">
        <v>34</v>
      </c>
      <c r="H607">
        <v>4</v>
      </c>
      <c r="I607">
        <v>153</v>
      </c>
      <c r="J607">
        <v>128</v>
      </c>
      <c r="K607">
        <v>93</v>
      </c>
      <c r="L607">
        <v>374</v>
      </c>
      <c r="M607">
        <v>2025</v>
      </c>
    </row>
    <row r="608" spans="1:13" x14ac:dyDescent="0.25">
      <c r="A608" t="s">
        <v>645</v>
      </c>
      <c r="B608" t="s">
        <v>13</v>
      </c>
      <c r="C608" s="1">
        <v>38756</v>
      </c>
      <c r="D608" s="8">
        <f ca="1">ROUND(YEARFRAC(NEET[[#This Row],[Date_of_Birth]],TODAY()),0)</f>
        <v>20</v>
      </c>
      <c r="E608" t="s">
        <v>36</v>
      </c>
      <c r="F608" t="s">
        <v>37</v>
      </c>
      <c r="G608" t="s">
        <v>29</v>
      </c>
      <c r="H608">
        <v>4</v>
      </c>
      <c r="I608">
        <v>90</v>
      </c>
      <c r="J608">
        <v>74</v>
      </c>
      <c r="K608">
        <v>99</v>
      </c>
      <c r="L608">
        <v>263</v>
      </c>
      <c r="M608">
        <v>2023</v>
      </c>
    </row>
    <row r="609" spans="1:13" x14ac:dyDescent="0.25">
      <c r="A609" t="s">
        <v>646</v>
      </c>
      <c r="B609" t="s">
        <v>20</v>
      </c>
      <c r="C609" s="1">
        <v>38349</v>
      </c>
      <c r="D609" s="8">
        <f ca="1">ROUND(YEARFRAC(NEET[[#This Row],[Date_of_Birth]],TODAY()),0)</f>
        <v>21</v>
      </c>
      <c r="E609" t="s">
        <v>40</v>
      </c>
      <c r="F609" t="s">
        <v>15</v>
      </c>
      <c r="G609" t="s">
        <v>34</v>
      </c>
      <c r="H609">
        <v>3</v>
      </c>
      <c r="I609">
        <v>108</v>
      </c>
      <c r="J609">
        <v>133</v>
      </c>
      <c r="K609">
        <v>95</v>
      </c>
      <c r="L609">
        <v>336</v>
      </c>
      <c r="M609">
        <v>2023</v>
      </c>
    </row>
    <row r="610" spans="1:13" x14ac:dyDescent="0.25">
      <c r="A610" t="s">
        <v>647</v>
      </c>
      <c r="B610" t="s">
        <v>13</v>
      </c>
      <c r="C610" s="1">
        <v>36896</v>
      </c>
      <c r="D610" s="8">
        <f ca="1">ROUND(YEARFRAC(NEET[[#This Row],[Date_of_Birth]],TODAY()),0)</f>
        <v>25</v>
      </c>
      <c r="E610" t="s">
        <v>62</v>
      </c>
      <c r="F610" t="s">
        <v>15</v>
      </c>
      <c r="G610" t="s">
        <v>16</v>
      </c>
      <c r="H610">
        <v>4</v>
      </c>
      <c r="I610">
        <v>65</v>
      </c>
      <c r="J610">
        <v>178</v>
      </c>
      <c r="K610">
        <v>60</v>
      </c>
      <c r="L610">
        <v>303</v>
      </c>
      <c r="M610">
        <v>2025</v>
      </c>
    </row>
    <row r="611" spans="1:13" x14ac:dyDescent="0.25">
      <c r="A611" t="s">
        <v>648</v>
      </c>
      <c r="B611" t="s">
        <v>20</v>
      </c>
      <c r="C611" s="1">
        <v>38123</v>
      </c>
      <c r="D611" s="8">
        <f ca="1">ROUND(YEARFRAC(NEET[[#This Row],[Date_of_Birth]],TODAY()),0)</f>
        <v>22</v>
      </c>
      <c r="E611" t="s">
        <v>27</v>
      </c>
      <c r="F611" t="s">
        <v>15</v>
      </c>
      <c r="G611" t="s">
        <v>16</v>
      </c>
      <c r="H611">
        <v>3</v>
      </c>
      <c r="I611">
        <v>177</v>
      </c>
      <c r="J611">
        <v>144</v>
      </c>
      <c r="K611">
        <v>160</v>
      </c>
      <c r="L611">
        <v>481</v>
      </c>
      <c r="M611">
        <v>2025</v>
      </c>
    </row>
    <row r="612" spans="1:13" x14ac:dyDescent="0.25">
      <c r="A612" t="s">
        <v>649</v>
      </c>
      <c r="B612" t="s">
        <v>20</v>
      </c>
      <c r="C612" s="1">
        <v>38306</v>
      </c>
      <c r="D612" s="8">
        <f ca="1">ROUND(YEARFRAC(NEET[[#This Row],[Date_of_Birth]],TODAY()),0)</f>
        <v>22</v>
      </c>
      <c r="E612" t="s">
        <v>36</v>
      </c>
      <c r="F612" t="s">
        <v>37</v>
      </c>
      <c r="G612" t="s">
        <v>29</v>
      </c>
      <c r="H612">
        <v>2</v>
      </c>
      <c r="I612">
        <v>118</v>
      </c>
      <c r="J612">
        <v>52</v>
      </c>
      <c r="K612">
        <v>358</v>
      </c>
      <c r="L612">
        <v>528</v>
      </c>
      <c r="M612">
        <v>2023</v>
      </c>
    </row>
    <row r="613" spans="1:13" x14ac:dyDescent="0.25">
      <c r="A613" t="s">
        <v>650</v>
      </c>
      <c r="B613" t="s">
        <v>13</v>
      </c>
      <c r="C613" s="1">
        <v>38038</v>
      </c>
      <c r="D613" s="8">
        <f ca="1">ROUND(YEARFRAC(NEET[[#This Row],[Date_of_Birth]],TODAY()),0)</f>
        <v>22</v>
      </c>
      <c r="E613" t="s">
        <v>48</v>
      </c>
      <c r="F613" t="s">
        <v>49</v>
      </c>
      <c r="G613" t="s">
        <v>25</v>
      </c>
      <c r="H613">
        <v>3</v>
      </c>
      <c r="I613">
        <v>170</v>
      </c>
      <c r="J613">
        <v>43</v>
      </c>
      <c r="K613">
        <v>60</v>
      </c>
      <c r="L613">
        <v>273</v>
      </c>
      <c r="M613">
        <v>2024</v>
      </c>
    </row>
    <row r="614" spans="1:13" x14ac:dyDescent="0.25">
      <c r="A614" t="s">
        <v>651</v>
      </c>
      <c r="B614" t="s">
        <v>20</v>
      </c>
      <c r="C614" s="1">
        <v>38294</v>
      </c>
      <c r="D614" s="8">
        <f ca="1">ROUND(YEARFRAC(NEET[[#This Row],[Date_of_Birth]],TODAY()),0)</f>
        <v>22</v>
      </c>
      <c r="E614" t="s">
        <v>36</v>
      </c>
      <c r="F614" t="s">
        <v>37</v>
      </c>
      <c r="G614" t="s">
        <v>16</v>
      </c>
      <c r="H614">
        <v>4</v>
      </c>
      <c r="I614">
        <v>130</v>
      </c>
      <c r="J614">
        <v>111</v>
      </c>
      <c r="K614">
        <v>255</v>
      </c>
      <c r="L614">
        <v>496</v>
      </c>
      <c r="M614">
        <v>2024</v>
      </c>
    </row>
    <row r="615" spans="1:13" x14ac:dyDescent="0.25">
      <c r="A615" t="s">
        <v>652</v>
      </c>
      <c r="B615" t="s">
        <v>20</v>
      </c>
      <c r="C615" s="1">
        <v>39239</v>
      </c>
      <c r="D615" s="8">
        <f ca="1">ROUND(YEARFRAC(NEET[[#This Row],[Date_of_Birth]],TODAY()),0)</f>
        <v>19</v>
      </c>
      <c r="E615" t="s">
        <v>40</v>
      </c>
      <c r="F615" t="s">
        <v>15</v>
      </c>
      <c r="G615" t="s">
        <v>22</v>
      </c>
      <c r="H615">
        <v>4</v>
      </c>
      <c r="I615">
        <v>151</v>
      </c>
      <c r="J615">
        <v>65</v>
      </c>
      <c r="K615">
        <v>156</v>
      </c>
      <c r="L615">
        <v>372</v>
      </c>
      <c r="M615">
        <v>2025</v>
      </c>
    </row>
    <row r="616" spans="1:13" x14ac:dyDescent="0.25">
      <c r="A616" t="s">
        <v>653</v>
      </c>
      <c r="B616" t="s">
        <v>13</v>
      </c>
      <c r="C616" s="1">
        <v>39270</v>
      </c>
      <c r="D616" s="8">
        <f ca="1">ROUND(YEARFRAC(NEET[[#This Row],[Date_of_Birth]],TODAY()),0)</f>
        <v>19</v>
      </c>
      <c r="E616" t="s">
        <v>40</v>
      </c>
      <c r="F616" t="s">
        <v>15</v>
      </c>
      <c r="G616" t="s">
        <v>34</v>
      </c>
      <c r="H616">
        <v>4</v>
      </c>
      <c r="I616">
        <v>64</v>
      </c>
      <c r="J616">
        <v>32</v>
      </c>
      <c r="K616">
        <v>96</v>
      </c>
      <c r="L616">
        <v>192</v>
      </c>
      <c r="M616">
        <v>2024</v>
      </c>
    </row>
    <row r="617" spans="1:13" x14ac:dyDescent="0.25">
      <c r="A617" t="s">
        <v>654</v>
      </c>
      <c r="B617" t="s">
        <v>20</v>
      </c>
      <c r="C617" s="1">
        <v>36872</v>
      </c>
      <c r="D617" s="8">
        <f ca="1">ROUND(YEARFRAC(NEET[[#This Row],[Date_of_Birth]],TODAY()),0)</f>
        <v>25</v>
      </c>
      <c r="E617" t="s">
        <v>40</v>
      </c>
      <c r="F617" t="s">
        <v>15</v>
      </c>
      <c r="G617" t="s">
        <v>16</v>
      </c>
      <c r="H617">
        <v>4</v>
      </c>
      <c r="I617">
        <v>136</v>
      </c>
      <c r="J617">
        <v>146</v>
      </c>
      <c r="K617">
        <v>277</v>
      </c>
      <c r="L617">
        <v>559</v>
      </c>
      <c r="M617">
        <v>2026</v>
      </c>
    </row>
    <row r="618" spans="1:13" x14ac:dyDescent="0.25">
      <c r="A618" t="s">
        <v>655</v>
      </c>
      <c r="B618" t="s">
        <v>20</v>
      </c>
      <c r="C618" s="1">
        <v>38101</v>
      </c>
      <c r="D618" s="8">
        <f ca="1">ROUND(YEARFRAC(NEET[[#This Row],[Date_of_Birth]],TODAY()),0)</f>
        <v>22</v>
      </c>
      <c r="E618" t="s">
        <v>46</v>
      </c>
      <c r="F618" t="s">
        <v>15</v>
      </c>
      <c r="G618" t="s">
        <v>16</v>
      </c>
      <c r="H618">
        <v>2</v>
      </c>
      <c r="I618">
        <v>87</v>
      </c>
      <c r="J618">
        <v>77</v>
      </c>
      <c r="K618">
        <v>277</v>
      </c>
      <c r="L618">
        <v>441</v>
      </c>
      <c r="M618">
        <v>2025</v>
      </c>
    </row>
    <row r="619" spans="1:13" x14ac:dyDescent="0.25">
      <c r="A619" t="s">
        <v>656</v>
      </c>
      <c r="B619" t="s">
        <v>13</v>
      </c>
      <c r="C619" s="1">
        <v>38208</v>
      </c>
      <c r="D619" s="8">
        <f ca="1">ROUND(YEARFRAC(NEET[[#This Row],[Date_of_Birth]],TODAY()),0)</f>
        <v>22</v>
      </c>
      <c r="E619" t="s">
        <v>48</v>
      </c>
      <c r="F619" t="s">
        <v>49</v>
      </c>
      <c r="G619" t="s">
        <v>29</v>
      </c>
      <c r="H619">
        <v>4</v>
      </c>
      <c r="I619">
        <v>169</v>
      </c>
      <c r="J619">
        <v>177</v>
      </c>
      <c r="K619">
        <v>247</v>
      </c>
      <c r="L619">
        <v>593</v>
      </c>
      <c r="M619">
        <v>2023</v>
      </c>
    </row>
    <row r="620" spans="1:13" x14ac:dyDescent="0.25">
      <c r="A620" t="s">
        <v>657</v>
      </c>
      <c r="B620" t="s">
        <v>20</v>
      </c>
      <c r="C620" s="1">
        <v>38902</v>
      </c>
      <c r="D620" s="8">
        <f ca="1">ROUND(YEARFRAC(NEET[[#This Row],[Date_of_Birth]],TODAY()),0)</f>
        <v>20</v>
      </c>
      <c r="E620" t="s">
        <v>73</v>
      </c>
      <c r="F620" t="s">
        <v>15</v>
      </c>
      <c r="G620" t="s">
        <v>16</v>
      </c>
      <c r="H620">
        <v>1</v>
      </c>
      <c r="I620">
        <v>50</v>
      </c>
      <c r="J620">
        <v>66</v>
      </c>
      <c r="K620">
        <v>329</v>
      </c>
      <c r="L620">
        <v>445</v>
      </c>
      <c r="M620">
        <v>2023</v>
      </c>
    </row>
    <row r="621" spans="1:13" x14ac:dyDescent="0.25">
      <c r="A621" t="s">
        <v>658</v>
      </c>
      <c r="B621" t="s">
        <v>13</v>
      </c>
      <c r="C621" s="1">
        <v>37530</v>
      </c>
      <c r="D621" s="8">
        <f ca="1">ROUND(YEARFRAC(NEET[[#This Row],[Date_of_Birth]],TODAY()),0)</f>
        <v>24</v>
      </c>
      <c r="E621" t="s">
        <v>73</v>
      </c>
      <c r="F621" t="s">
        <v>15</v>
      </c>
      <c r="G621" t="s">
        <v>16</v>
      </c>
      <c r="H621">
        <v>3</v>
      </c>
      <c r="I621">
        <v>49</v>
      </c>
      <c r="J621">
        <v>168</v>
      </c>
      <c r="K621">
        <v>356</v>
      </c>
      <c r="L621">
        <v>573</v>
      </c>
      <c r="M621">
        <v>2023</v>
      </c>
    </row>
    <row r="622" spans="1:13" x14ac:dyDescent="0.25">
      <c r="A622" t="s">
        <v>659</v>
      </c>
      <c r="B622" t="s">
        <v>20</v>
      </c>
      <c r="C622" s="1">
        <v>38446</v>
      </c>
      <c r="D622" s="8">
        <f ca="1">ROUND(YEARFRAC(NEET[[#This Row],[Date_of_Birth]],TODAY()),0)</f>
        <v>21</v>
      </c>
      <c r="E622" t="s">
        <v>73</v>
      </c>
      <c r="F622" t="s">
        <v>15</v>
      </c>
      <c r="G622" t="s">
        <v>29</v>
      </c>
      <c r="H622">
        <v>3</v>
      </c>
      <c r="I622">
        <v>161</v>
      </c>
      <c r="J622">
        <v>150</v>
      </c>
      <c r="K622">
        <v>353</v>
      </c>
      <c r="L622">
        <v>664</v>
      </c>
      <c r="M622">
        <v>2025</v>
      </c>
    </row>
    <row r="623" spans="1:13" x14ac:dyDescent="0.25">
      <c r="A623" t="s">
        <v>660</v>
      </c>
      <c r="B623" t="s">
        <v>20</v>
      </c>
      <c r="C623" s="1">
        <v>37212</v>
      </c>
      <c r="D623" s="8">
        <f ca="1">ROUND(YEARFRAC(NEET[[#This Row],[Date_of_Birth]],TODAY()),0)</f>
        <v>25</v>
      </c>
      <c r="E623" t="s">
        <v>53</v>
      </c>
      <c r="F623" t="s">
        <v>15</v>
      </c>
      <c r="G623" t="s">
        <v>16</v>
      </c>
      <c r="H623">
        <v>2</v>
      </c>
      <c r="I623">
        <v>107</v>
      </c>
      <c r="J623">
        <v>174</v>
      </c>
      <c r="K623">
        <v>193</v>
      </c>
      <c r="L623">
        <v>474</v>
      </c>
      <c r="M623">
        <v>2023</v>
      </c>
    </row>
    <row r="624" spans="1:13" x14ac:dyDescent="0.25">
      <c r="A624" t="s">
        <v>661</v>
      </c>
      <c r="B624" t="s">
        <v>13</v>
      </c>
      <c r="C624" s="1">
        <v>39214</v>
      </c>
      <c r="D624" s="8">
        <f ca="1">ROUND(YEARFRAC(NEET[[#This Row],[Date_of_Birth]],TODAY()),0)</f>
        <v>19</v>
      </c>
      <c r="E624" t="s">
        <v>24</v>
      </c>
      <c r="F624" t="s">
        <v>15</v>
      </c>
      <c r="G624" t="s">
        <v>29</v>
      </c>
      <c r="H624">
        <v>1</v>
      </c>
      <c r="I624">
        <v>36</v>
      </c>
      <c r="J624">
        <v>103</v>
      </c>
      <c r="K624">
        <v>308</v>
      </c>
      <c r="L624">
        <v>447</v>
      </c>
      <c r="M624">
        <v>2025</v>
      </c>
    </row>
    <row r="625" spans="1:13" x14ac:dyDescent="0.25">
      <c r="A625" t="s">
        <v>662</v>
      </c>
      <c r="B625" t="s">
        <v>13</v>
      </c>
      <c r="C625" s="1">
        <v>37068</v>
      </c>
      <c r="D625" s="8">
        <f ca="1">ROUND(YEARFRAC(NEET[[#This Row],[Date_of_Birth]],TODAY()),0)</f>
        <v>25</v>
      </c>
      <c r="E625" t="s">
        <v>27</v>
      </c>
      <c r="F625" t="s">
        <v>15</v>
      </c>
      <c r="G625" t="s">
        <v>16</v>
      </c>
      <c r="H625">
        <v>2</v>
      </c>
      <c r="I625">
        <v>101</v>
      </c>
      <c r="J625">
        <v>100</v>
      </c>
      <c r="K625">
        <v>191</v>
      </c>
      <c r="L625">
        <v>392</v>
      </c>
      <c r="M625">
        <v>2024</v>
      </c>
    </row>
    <row r="626" spans="1:13" x14ac:dyDescent="0.25">
      <c r="A626" t="s">
        <v>663</v>
      </c>
      <c r="B626" t="s">
        <v>20</v>
      </c>
      <c r="C626" s="1">
        <v>39225</v>
      </c>
      <c r="D626" s="8">
        <f ca="1">ROUND(YEARFRAC(NEET[[#This Row],[Date_of_Birth]],TODAY()),0)</f>
        <v>19</v>
      </c>
      <c r="E626" t="s">
        <v>73</v>
      </c>
      <c r="F626" t="s">
        <v>15</v>
      </c>
      <c r="G626" t="s">
        <v>16</v>
      </c>
      <c r="H626">
        <v>2</v>
      </c>
      <c r="I626">
        <v>124</v>
      </c>
      <c r="J626">
        <v>74</v>
      </c>
      <c r="K626">
        <v>193</v>
      </c>
      <c r="L626">
        <v>391</v>
      </c>
      <c r="M626">
        <v>2023</v>
      </c>
    </row>
    <row r="627" spans="1:13" x14ac:dyDescent="0.25">
      <c r="A627" t="s">
        <v>664</v>
      </c>
      <c r="B627" t="s">
        <v>20</v>
      </c>
      <c r="C627" s="1">
        <v>37930</v>
      </c>
      <c r="D627" s="8">
        <f ca="1">ROUND(YEARFRAC(NEET[[#This Row],[Date_of_Birth]],TODAY()),0)</f>
        <v>23</v>
      </c>
      <c r="E627" t="s">
        <v>14</v>
      </c>
      <c r="F627" t="s">
        <v>15</v>
      </c>
      <c r="G627" t="s">
        <v>34</v>
      </c>
      <c r="H627">
        <v>2</v>
      </c>
      <c r="I627">
        <v>67</v>
      </c>
      <c r="J627">
        <v>69</v>
      </c>
      <c r="K627">
        <v>313</v>
      </c>
      <c r="L627">
        <v>449</v>
      </c>
      <c r="M627">
        <v>2024</v>
      </c>
    </row>
    <row r="628" spans="1:13" x14ac:dyDescent="0.25">
      <c r="A628" t="s">
        <v>665</v>
      </c>
      <c r="B628" t="s">
        <v>13</v>
      </c>
      <c r="C628" s="1">
        <v>37389</v>
      </c>
      <c r="D628" s="8">
        <f ca="1">ROUND(YEARFRAC(NEET[[#This Row],[Date_of_Birth]],TODAY()),0)</f>
        <v>24</v>
      </c>
      <c r="E628" t="s">
        <v>27</v>
      </c>
      <c r="F628" t="s">
        <v>15</v>
      </c>
      <c r="G628" t="s">
        <v>34</v>
      </c>
      <c r="H628">
        <v>2</v>
      </c>
      <c r="I628">
        <v>118</v>
      </c>
      <c r="J628">
        <v>43</v>
      </c>
      <c r="K628">
        <v>195</v>
      </c>
      <c r="L628">
        <v>356</v>
      </c>
      <c r="M628">
        <v>2026</v>
      </c>
    </row>
    <row r="629" spans="1:13" x14ac:dyDescent="0.25">
      <c r="A629" t="s">
        <v>666</v>
      </c>
      <c r="B629" t="s">
        <v>20</v>
      </c>
      <c r="C629" s="1">
        <v>38476</v>
      </c>
      <c r="D629" s="8">
        <f ca="1">ROUND(YEARFRAC(NEET[[#This Row],[Date_of_Birth]],TODAY()),0)</f>
        <v>21</v>
      </c>
      <c r="E629" t="s">
        <v>24</v>
      </c>
      <c r="F629" t="s">
        <v>15</v>
      </c>
      <c r="G629" t="s">
        <v>29</v>
      </c>
      <c r="H629">
        <v>4</v>
      </c>
      <c r="I629">
        <v>151</v>
      </c>
      <c r="J629">
        <v>166</v>
      </c>
      <c r="K629">
        <v>179</v>
      </c>
      <c r="L629">
        <v>496</v>
      </c>
      <c r="M629">
        <v>2024</v>
      </c>
    </row>
    <row r="630" spans="1:13" x14ac:dyDescent="0.25">
      <c r="A630" t="s">
        <v>667</v>
      </c>
      <c r="B630" t="s">
        <v>20</v>
      </c>
      <c r="C630" s="1">
        <v>38698</v>
      </c>
      <c r="D630" s="8">
        <f ca="1">ROUND(YEARFRAC(NEET[[#This Row],[Date_of_Birth]],TODAY()),0)</f>
        <v>20</v>
      </c>
      <c r="E630" t="s">
        <v>31</v>
      </c>
      <c r="F630" t="s">
        <v>32</v>
      </c>
      <c r="G630" t="s">
        <v>16</v>
      </c>
      <c r="H630">
        <v>3</v>
      </c>
      <c r="I630">
        <v>141</v>
      </c>
      <c r="J630">
        <v>33</v>
      </c>
      <c r="K630">
        <v>207</v>
      </c>
      <c r="L630">
        <v>381</v>
      </c>
      <c r="M630">
        <v>2023</v>
      </c>
    </row>
    <row r="631" spans="1:13" x14ac:dyDescent="0.25">
      <c r="A631" t="s">
        <v>668</v>
      </c>
      <c r="B631" t="s">
        <v>20</v>
      </c>
      <c r="C631" s="1">
        <v>36924</v>
      </c>
      <c r="D631" s="8">
        <f ca="1">ROUND(YEARFRAC(NEET[[#This Row],[Date_of_Birth]],TODAY()),0)</f>
        <v>25</v>
      </c>
      <c r="E631" t="s">
        <v>48</v>
      </c>
      <c r="F631" t="s">
        <v>49</v>
      </c>
      <c r="G631" t="s">
        <v>29</v>
      </c>
      <c r="H631">
        <v>3</v>
      </c>
      <c r="I631">
        <v>166</v>
      </c>
      <c r="J631">
        <v>120</v>
      </c>
      <c r="K631">
        <v>281</v>
      </c>
      <c r="L631">
        <v>567</v>
      </c>
      <c r="M631">
        <v>2023</v>
      </c>
    </row>
    <row r="632" spans="1:13" x14ac:dyDescent="0.25">
      <c r="A632" t="s">
        <v>669</v>
      </c>
      <c r="B632" t="s">
        <v>13</v>
      </c>
      <c r="C632" s="1">
        <v>37571</v>
      </c>
      <c r="D632" s="8">
        <f ca="1">ROUND(YEARFRAC(NEET[[#This Row],[Date_of_Birth]],TODAY()),0)</f>
        <v>24</v>
      </c>
      <c r="E632" t="s">
        <v>21</v>
      </c>
      <c r="F632" t="s">
        <v>21</v>
      </c>
      <c r="G632" t="s">
        <v>22</v>
      </c>
      <c r="H632">
        <v>3</v>
      </c>
      <c r="I632">
        <v>179</v>
      </c>
      <c r="J632">
        <v>130</v>
      </c>
      <c r="K632">
        <v>296</v>
      </c>
      <c r="L632">
        <v>605</v>
      </c>
      <c r="M632">
        <v>2025</v>
      </c>
    </row>
    <row r="633" spans="1:13" x14ac:dyDescent="0.25">
      <c r="A633" t="s">
        <v>670</v>
      </c>
      <c r="B633" t="s">
        <v>13</v>
      </c>
      <c r="C633" s="1">
        <v>38769</v>
      </c>
      <c r="D633" s="8">
        <f ca="1">ROUND(YEARFRAC(NEET[[#This Row],[Date_of_Birth]],TODAY()),0)</f>
        <v>20</v>
      </c>
      <c r="E633" t="s">
        <v>53</v>
      </c>
      <c r="F633" t="s">
        <v>15</v>
      </c>
      <c r="G633" t="s">
        <v>34</v>
      </c>
      <c r="H633">
        <v>1</v>
      </c>
      <c r="I633">
        <v>32</v>
      </c>
      <c r="J633">
        <v>47</v>
      </c>
      <c r="K633">
        <v>66</v>
      </c>
      <c r="L633">
        <v>145</v>
      </c>
      <c r="M633">
        <v>2025</v>
      </c>
    </row>
    <row r="634" spans="1:13" x14ac:dyDescent="0.25">
      <c r="A634" t="s">
        <v>671</v>
      </c>
      <c r="B634" t="s">
        <v>13</v>
      </c>
      <c r="C634" s="1">
        <v>37424</v>
      </c>
      <c r="D634" s="8">
        <f ca="1">ROUND(YEARFRAC(NEET[[#This Row],[Date_of_Birth]],TODAY()),0)</f>
        <v>24</v>
      </c>
      <c r="E634" t="s">
        <v>36</v>
      </c>
      <c r="F634" t="s">
        <v>37</v>
      </c>
      <c r="G634" t="s">
        <v>25</v>
      </c>
      <c r="H634">
        <v>1</v>
      </c>
      <c r="I634">
        <v>102</v>
      </c>
      <c r="J634">
        <v>94</v>
      </c>
      <c r="K634">
        <v>158</v>
      </c>
      <c r="L634">
        <v>354</v>
      </c>
      <c r="M634">
        <v>2024</v>
      </c>
    </row>
    <row r="635" spans="1:13" x14ac:dyDescent="0.25">
      <c r="A635" t="s">
        <v>672</v>
      </c>
      <c r="B635" t="s">
        <v>20</v>
      </c>
      <c r="C635" s="1">
        <v>38981</v>
      </c>
      <c r="D635" s="8">
        <f ca="1">ROUND(YEARFRAC(NEET[[#This Row],[Date_of_Birth]],TODAY()),0)</f>
        <v>20</v>
      </c>
      <c r="E635" t="s">
        <v>21</v>
      </c>
      <c r="F635" t="s">
        <v>21</v>
      </c>
      <c r="G635" t="s">
        <v>25</v>
      </c>
      <c r="H635">
        <v>2</v>
      </c>
      <c r="I635">
        <v>61</v>
      </c>
      <c r="J635">
        <v>60</v>
      </c>
      <c r="K635">
        <v>104</v>
      </c>
      <c r="L635">
        <v>225</v>
      </c>
      <c r="M635">
        <v>2024</v>
      </c>
    </row>
    <row r="636" spans="1:13" x14ac:dyDescent="0.25">
      <c r="A636" t="s">
        <v>673</v>
      </c>
      <c r="B636" t="s">
        <v>20</v>
      </c>
      <c r="C636" s="1">
        <v>37563</v>
      </c>
      <c r="D636" s="8">
        <f ca="1">ROUND(YEARFRAC(NEET[[#This Row],[Date_of_Birth]],TODAY()),0)</f>
        <v>24</v>
      </c>
      <c r="E636" t="s">
        <v>24</v>
      </c>
      <c r="F636" t="s">
        <v>15</v>
      </c>
      <c r="G636" t="s">
        <v>29</v>
      </c>
      <c r="H636">
        <v>3</v>
      </c>
      <c r="I636">
        <v>149</v>
      </c>
      <c r="J636">
        <v>49</v>
      </c>
      <c r="K636">
        <v>292</v>
      </c>
      <c r="L636">
        <v>490</v>
      </c>
      <c r="M636">
        <v>2024</v>
      </c>
    </row>
    <row r="637" spans="1:13" x14ac:dyDescent="0.25">
      <c r="A637" t="s">
        <v>674</v>
      </c>
      <c r="B637" t="s">
        <v>20</v>
      </c>
      <c r="C637" s="1">
        <v>39723</v>
      </c>
      <c r="D637" s="8">
        <f ca="1">ROUND(YEARFRAC(NEET[[#This Row],[Date_of_Birth]],TODAY()),0)</f>
        <v>18</v>
      </c>
      <c r="E637" t="s">
        <v>14</v>
      </c>
      <c r="F637" t="s">
        <v>15</v>
      </c>
      <c r="G637" t="s">
        <v>29</v>
      </c>
      <c r="H637">
        <v>1</v>
      </c>
      <c r="I637">
        <v>100</v>
      </c>
      <c r="J637">
        <v>45</v>
      </c>
      <c r="K637">
        <v>255</v>
      </c>
      <c r="L637">
        <v>400</v>
      </c>
      <c r="M637">
        <v>2025</v>
      </c>
    </row>
    <row r="638" spans="1:13" x14ac:dyDescent="0.25">
      <c r="A638" t="s">
        <v>675</v>
      </c>
      <c r="B638" t="s">
        <v>13</v>
      </c>
      <c r="C638" s="1">
        <v>37254</v>
      </c>
      <c r="D638" s="8">
        <f ca="1">ROUND(YEARFRAC(NEET[[#This Row],[Date_of_Birth]],TODAY()),0)</f>
        <v>24</v>
      </c>
      <c r="E638" t="s">
        <v>73</v>
      </c>
      <c r="F638" t="s">
        <v>15</v>
      </c>
      <c r="G638" t="s">
        <v>25</v>
      </c>
      <c r="H638">
        <v>4</v>
      </c>
      <c r="I638">
        <v>47</v>
      </c>
      <c r="J638">
        <v>155</v>
      </c>
      <c r="K638">
        <v>162</v>
      </c>
      <c r="L638">
        <v>364</v>
      </c>
      <c r="M638">
        <v>2024</v>
      </c>
    </row>
    <row r="639" spans="1:13" x14ac:dyDescent="0.25">
      <c r="A639" t="s">
        <v>676</v>
      </c>
      <c r="B639" t="s">
        <v>20</v>
      </c>
      <c r="C639" s="1">
        <v>38740</v>
      </c>
      <c r="D639" s="8">
        <f ca="1">ROUND(YEARFRAC(NEET[[#This Row],[Date_of_Birth]],TODAY()),0)</f>
        <v>20</v>
      </c>
      <c r="E639" t="s">
        <v>69</v>
      </c>
      <c r="F639" t="s">
        <v>70</v>
      </c>
      <c r="G639" t="s">
        <v>25</v>
      </c>
      <c r="H639">
        <v>1</v>
      </c>
      <c r="I639">
        <v>140</v>
      </c>
      <c r="J639">
        <v>85</v>
      </c>
      <c r="K639">
        <v>114</v>
      </c>
      <c r="L639">
        <v>339</v>
      </c>
      <c r="M639">
        <v>2023</v>
      </c>
    </row>
    <row r="640" spans="1:13" x14ac:dyDescent="0.25">
      <c r="A640" t="s">
        <v>677</v>
      </c>
      <c r="B640" t="s">
        <v>13</v>
      </c>
      <c r="C640" s="1">
        <v>36814</v>
      </c>
      <c r="D640" s="8">
        <f ca="1">ROUND(YEARFRAC(NEET[[#This Row],[Date_of_Birth]],TODAY()),0)</f>
        <v>26</v>
      </c>
      <c r="E640" t="s">
        <v>27</v>
      </c>
      <c r="F640" t="s">
        <v>15</v>
      </c>
      <c r="G640" t="s">
        <v>25</v>
      </c>
      <c r="H640">
        <v>1</v>
      </c>
      <c r="I640">
        <v>94</v>
      </c>
      <c r="J640">
        <v>144</v>
      </c>
      <c r="K640">
        <v>69</v>
      </c>
      <c r="L640">
        <v>307</v>
      </c>
      <c r="M640">
        <v>2026</v>
      </c>
    </row>
    <row r="641" spans="1:13" x14ac:dyDescent="0.25">
      <c r="A641" t="s">
        <v>678</v>
      </c>
      <c r="B641" t="s">
        <v>20</v>
      </c>
      <c r="C641" s="1">
        <v>37617</v>
      </c>
      <c r="D641" s="8">
        <f ca="1">ROUND(YEARFRAC(NEET[[#This Row],[Date_of_Birth]],TODAY()),0)</f>
        <v>23</v>
      </c>
      <c r="E641" t="s">
        <v>40</v>
      </c>
      <c r="F641" t="s">
        <v>15</v>
      </c>
      <c r="G641" t="s">
        <v>34</v>
      </c>
      <c r="H641">
        <v>4</v>
      </c>
      <c r="I641">
        <v>114</v>
      </c>
      <c r="J641">
        <v>130</v>
      </c>
      <c r="K641">
        <v>354</v>
      </c>
      <c r="L641">
        <v>598</v>
      </c>
      <c r="M641">
        <v>2026</v>
      </c>
    </row>
    <row r="642" spans="1:13" x14ac:dyDescent="0.25">
      <c r="A642" t="s">
        <v>679</v>
      </c>
      <c r="B642" t="s">
        <v>20</v>
      </c>
      <c r="C642" s="1">
        <v>39506</v>
      </c>
      <c r="D642" s="8">
        <f ca="1">ROUND(YEARFRAC(NEET[[#This Row],[Date_of_Birth]],TODAY()),0)</f>
        <v>18</v>
      </c>
      <c r="E642" t="s">
        <v>69</v>
      </c>
      <c r="F642" t="s">
        <v>70</v>
      </c>
      <c r="G642" t="s">
        <v>25</v>
      </c>
      <c r="H642">
        <v>4</v>
      </c>
      <c r="I642">
        <v>47</v>
      </c>
      <c r="J642">
        <v>168</v>
      </c>
      <c r="K642">
        <v>175</v>
      </c>
      <c r="L642">
        <v>390</v>
      </c>
      <c r="M642">
        <v>2025</v>
      </c>
    </row>
    <row r="643" spans="1:13" x14ac:dyDescent="0.25">
      <c r="A643" t="s">
        <v>680</v>
      </c>
      <c r="B643" t="s">
        <v>20</v>
      </c>
      <c r="C643" s="1">
        <v>37891</v>
      </c>
      <c r="D643" s="8">
        <f ca="1">ROUND(YEARFRAC(NEET[[#This Row],[Date_of_Birth]],TODAY()),0)</f>
        <v>23</v>
      </c>
      <c r="E643" t="s">
        <v>21</v>
      </c>
      <c r="F643" t="s">
        <v>21</v>
      </c>
      <c r="G643" t="s">
        <v>25</v>
      </c>
      <c r="H643">
        <v>3</v>
      </c>
      <c r="I643">
        <v>107</v>
      </c>
      <c r="J643">
        <v>132</v>
      </c>
      <c r="K643">
        <v>88</v>
      </c>
      <c r="L643">
        <v>327</v>
      </c>
      <c r="M643">
        <v>2026</v>
      </c>
    </row>
    <row r="644" spans="1:13" x14ac:dyDescent="0.25">
      <c r="A644" t="s">
        <v>681</v>
      </c>
      <c r="B644" t="s">
        <v>20</v>
      </c>
      <c r="C644" s="1">
        <v>39640</v>
      </c>
      <c r="D644" s="8">
        <f ca="1">ROUND(YEARFRAC(NEET[[#This Row],[Date_of_Birth]],TODAY()),0)</f>
        <v>18</v>
      </c>
      <c r="E644" t="s">
        <v>69</v>
      </c>
      <c r="F644" t="s">
        <v>70</v>
      </c>
      <c r="G644" t="s">
        <v>29</v>
      </c>
      <c r="H644">
        <v>2</v>
      </c>
      <c r="I644">
        <v>104</v>
      </c>
      <c r="J644">
        <v>81</v>
      </c>
      <c r="K644">
        <v>150</v>
      </c>
      <c r="L644">
        <v>335</v>
      </c>
      <c r="M644">
        <v>2026</v>
      </c>
    </row>
    <row r="645" spans="1:13" x14ac:dyDescent="0.25">
      <c r="A645" t="s">
        <v>682</v>
      </c>
      <c r="B645" t="s">
        <v>13</v>
      </c>
      <c r="C645" s="1">
        <v>36963</v>
      </c>
      <c r="D645" s="8">
        <f ca="1">ROUND(YEARFRAC(NEET[[#This Row],[Date_of_Birth]],TODAY()),0)</f>
        <v>25</v>
      </c>
      <c r="E645" t="s">
        <v>21</v>
      </c>
      <c r="F645" t="s">
        <v>21</v>
      </c>
      <c r="G645" t="s">
        <v>25</v>
      </c>
      <c r="H645">
        <v>2</v>
      </c>
      <c r="I645">
        <v>121</v>
      </c>
      <c r="J645">
        <v>154</v>
      </c>
      <c r="K645">
        <v>103</v>
      </c>
      <c r="L645">
        <v>378</v>
      </c>
      <c r="M645">
        <v>2024</v>
      </c>
    </row>
    <row r="646" spans="1:13" x14ac:dyDescent="0.25">
      <c r="A646" t="s">
        <v>683</v>
      </c>
      <c r="B646" t="s">
        <v>20</v>
      </c>
      <c r="C646" s="1">
        <v>36629</v>
      </c>
      <c r="D646" s="8">
        <f ca="1">ROUND(YEARFRAC(NEET[[#This Row],[Date_of_Birth]],TODAY()),0)</f>
        <v>26</v>
      </c>
      <c r="E646" t="s">
        <v>36</v>
      </c>
      <c r="F646" t="s">
        <v>37</v>
      </c>
      <c r="G646" t="s">
        <v>16</v>
      </c>
      <c r="H646">
        <v>4</v>
      </c>
      <c r="I646">
        <v>91</v>
      </c>
      <c r="J646">
        <v>155</v>
      </c>
      <c r="K646">
        <v>259</v>
      </c>
      <c r="L646">
        <v>505</v>
      </c>
      <c r="M646">
        <v>2026</v>
      </c>
    </row>
    <row r="647" spans="1:13" x14ac:dyDescent="0.25">
      <c r="A647" t="s">
        <v>684</v>
      </c>
      <c r="B647" t="s">
        <v>20</v>
      </c>
      <c r="C647" s="1">
        <v>36593</v>
      </c>
      <c r="D647" s="8">
        <f ca="1">ROUND(YEARFRAC(NEET[[#This Row],[Date_of_Birth]],TODAY()),0)</f>
        <v>26</v>
      </c>
      <c r="E647" t="s">
        <v>53</v>
      </c>
      <c r="F647" t="s">
        <v>15</v>
      </c>
      <c r="G647" t="s">
        <v>22</v>
      </c>
      <c r="H647">
        <v>1</v>
      </c>
      <c r="I647">
        <v>116</v>
      </c>
      <c r="J647">
        <v>44</v>
      </c>
      <c r="K647">
        <v>232</v>
      </c>
      <c r="L647">
        <v>392</v>
      </c>
      <c r="M647">
        <v>2026</v>
      </c>
    </row>
    <row r="648" spans="1:13" x14ac:dyDescent="0.25">
      <c r="A648" t="s">
        <v>685</v>
      </c>
      <c r="B648" t="s">
        <v>13</v>
      </c>
      <c r="C648" s="1">
        <v>39303</v>
      </c>
      <c r="D648" s="8">
        <f ca="1">ROUND(YEARFRAC(NEET[[#This Row],[Date_of_Birth]],TODAY()),0)</f>
        <v>19</v>
      </c>
      <c r="E648" t="s">
        <v>31</v>
      </c>
      <c r="F648" t="s">
        <v>32</v>
      </c>
      <c r="G648" t="s">
        <v>22</v>
      </c>
      <c r="H648">
        <v>1</v>
      </c>
      <c r="I648">
        <v>167</v>
      </c>
      <c r="J648">
        <v>68</v>
      </c>
      <c r="K648">
        <v>356</v>
      </c>
      <c r="L648">
        <v>591</v>
      </c>
      <c r="M648">
        <v>2026</v>
      </c>
    </row>
    <row r="649" spans="1:13" x14ac:dyDescent="0.25">
      <c r="A649" t="s">
        <v>686</v>
      </c>
      <c r="B649" t="s">
        <v>13</v>
      </c>
      <c r="C649" s="1">
        <v>39204</v>
      </c>
      <c r="D649" s="8">
        <f ca="1">ROUND(YEARFRAC(NEET[[#This Row],[Date_of_Birth]],TODAY()),0)</f>
        <v>19</v>
      </c>
      <c r="E649" t="s">
        <v>53</v>
      </c>
      <c r="F649" t="s">
        <v>15</v>
      </c>
      <c r="G649" t="s">
        <v>25</v>
      </c>
      <c r="H649">
        <v>2</v>
      </c>
      <c r="I649">
        <v>150</v>
      </c>
      <c r="J649">
        <v>41</v>
      </c>
      <c r="K649">
        <v>184</v>
      </c>
      <c r="L649">
        <v>375</v>
      </c>
      <c r="M649">
        <v>2025</v>
      </c>
    </row>
    <row r="650" spans="1:13" x14ac:dyDescent="0.25">
      <c r="A650" t="s">
        <v>687</v>
      </c>
      <c r="B650" t="s">
        <v>13</v>
      </c>
      <c r="C650" s="1">
        <v>39776</v>
      </c>
      <c r="D650" s="8">
        <f ca="1">ROUND(YEARFRAC(NEET[[#This Row],[Date_of_Birth]],TODAY()),0)</f>
        <v>17</v>
      </c>
      <c r="E650" t="s">
        <v>14</v>
      </c>
      <c r="F650" t="s">
        <v>15</v>
      </c>
      <c r="G650" t="s">
        <v>16</v>
      </c>
      <c r="H650">
        <v>4</v>
      </c>
      <c r="I650">
        <v>146</v>
      </c>
      <c r="J650">
        <v>73</v>
      </c>
      <c r="K650">
        <v>92</v>
      </c>
      <c r="L650">
        <v>311</v>
      </c>
      <c r="M650">
        <v>2024</v>
      </c>
    </row>
    <row r="651" spans="1:13" x14ac:dyDescent="0.25">
      <c r="A651" t="s">
        <v>688</v>
      </c>
      <c r="B651" t="s">
        <v>20</v>
      </c>
      <c r="C651" s="1">
        <v>36784</v>
      </c>
      <c r="D651" s="8">
        <f ca="1">ROUND(YEARFRAC(NEET[[#This Row],[Date_of_Birth]],TODAY()),0)</f>
        <v>26</v>
      </c>
      <c r="E651" t="s">
        <v>69</v>
      </c>
      <c r="F651" t="s">
        <v>70</v>
      </c>
      <c r="G651" t="s">
        <v>16</v>
      </c>
      <c r="H651">
        <v>1</v>
      </c>
      <c r="I651">
        <v>81</v>
      </c>
      <c r="J651">
        <v>139</v>
      </c>
      <c r="K651">
        <v>232</v>
      </c>
      <c r="L651">
        <v>452</v>
      </c>
      <c r="M651">
        <v>2024</v>
      </c>
    </row>
    <row r="652" spans="1:13" x14ac:dyDescent="0.25">
      <c r="A652" t="s">
        <v>689</v>
      </c>
      <c r="B652" t="s">
        <v>13</v>
      </c>
      <c r="C652" s="1">
        <v>37843</v>
      </c>
      <c r="D652" s="8">
        <f ca="1">ROUND(YEARFRAC(NEET[[#This Row],[Date_of_Birth]],TODAY()),0)</f>
        <v>23</v>
      </c>
      <c r="E652" t="s">
        <v>31</v>
      </c>
      <c r="F652" t="s">
        <v>32</v>
      </c>
      <c r="G652" t="s">
        <v>29</v>
      </c>
      <c r="H652">
        <v>1</v>
      </c>
      <c r="I652">
        <v>84</v>
      </c>
      <c r="J652">
        <v>41</v>
      </c>
      <c r="K652">
        <v>148</v>
      </c>
      <c r="L652">
        <v>273</v>
      </c>
      <c r="M652">
        <v>2024</v>
      </c>
    </row>
    <row r="653" spans="1:13" x14ac:dyDescent="0.25">
      <c r="A653" t="s">
        <v>690</v>
      </c>
      <c r="B653" t="s">
        <v>20</v>
      </c>
      <c r="C653" s="1">
        <v>39628</v>
      </c>
      <c r="D653" s="8">
        <f ca="1">ROUND(YEARFRAC(NEET[[#This Row],[Date_of_Birth]],TODAY()),0)</f>
        <v>18</v>
      </c>
      <c r="E653" t="s">
        <v>18</v>
      </c>
      <c r="F653" t="s">
        <v>15</v>
      </c>
      <c r="G653" t="s">
        <v>16</v>
      </c>
      <c r="H653">
        <v>2</v>
      </c>
      <c r="I653">
        <v>73</v>
      </c>
      <c r="J653">
        <v>124</v>
      </c>
      <c r="K653">
        <v>343</v>
      </c>
      <c r="L653">
        <v>540</v>
      </c>
      <c r="M653">
        <v>2023</v>
      </c>
    </row>
    <row r="654" spans="1:13" x14ac:dyDescent="0.25">
      <c r="A654" t="s">
        <v>691</v>
      </c>
      <c r="B654" t="s">
        <v>13</v>
      </c>
      <c r="C654" s="1">
        <v>37072</v>
      </c>
      <c r="D654" s="8">
        <f ca="1">ROUND(YEARFRAC(NEET[[#This Row],[Date_of_Birth]],TODAY()),0)</f>
        <v>25</v>
      </c>
      <c r="E654" t="s">
        <v>14</v>
      </c>
      <c r="F654" t="s">
        <v>15</v>
      </c>
      <c r="G654" t="s">
        <v>25</v>
      </c>
      <c r="H654">
        <v>1</v>
      </c>
      <c r="I654">
        <v>126</v>
      </c>
      <c r="J654">
        <v>70</v>
      </c>
      <c r="K654">
        <v>68</v>
      </c>
      <c r="L654">
        <v>264</v>
      </c>
      <c r="M654">
        <v>2024</v>
      </c>
    </row>
    <row r="655" spans="1:13" x14ac:dyDescent="0.25">
      <c r="A655" t="s">
        <v>692</v>
      </c>
      <c r="B655" t="s">
        <v>13</v>
      </c>
      <c r="C655" s="1">
        <v>36891</v>
      </c>
      <c r="D655" s="8">
        <f ca="1">ROUND(YEARFRAC(NEET[[#This Row],[Date_of_Birth]],TODAY()),0)</f>
        <v>25</v>
      </c>
      <c r="E655" t="s">
        <v>36</v>
      </c>
      <c r="F655" t="s">
        <v>37</v>
      </c>
      <c r="G655" t="s">
        <v>29</v>
      </c>
      <c r="H655">
        <v>2</v>
      </c>
      <c r="I655">
        <v>102</v>
      </c>
      <c r="J655">
        <v>136</v>
      </c>
      <c r="K655">
        <v>303</v>
      </c>
      <c r="L655">
        <v>541</v>
      </c>
      <c r="M655">
        <v>2026</v>
      </c>
    </row>
    <row r="656" spans="1:13" x14ac:dyDescent="0.25">
      <c r="A656" t="s">
        <v>693</v>
      </c>
      <c r="B656" t="s">
        <v>13</v>
      </c>
      <c r="C656" s="1">
        <v>38213</v>
      </c>
      <c r="D656" s="8">
        <f ca="1">ROUND(YEARFRAC(NEET[[#This Row],[Date_of_Birth]],TODAY()),0)</f>
        <v>22</v>
      </c>
      <c r="E656" t="s">
        <v>62</v>
      </c>
      <c r="F656" t="s">
        <v>15</v>
      </c>
      <c r="G656" t="s">
        <v>29</v>
      </c>
      <c r="H656">
        <v>3</v>
      </c>
      <c r="I656">
        <v>74</v>
      </c>
      <c r="J656">
        <v>39</v>
      </c>
      <c r="K656">
        <v>152</v>
      </c>
      <c r="L656">
        <v>265</v>
      </c>
      <c r="M656">
        <v>2026</v>
      </c>
    </row>
    <row r="657" spans="1:13" x14ac:dyDescent="0.25">
      <c r="A657" t="s">
        <v>694</v>
      </c>
      <c r="B657" t="s">
        <v>20</v>
      </c>
      <c r="C657" s="1">
        <v>36544</v>
      </c>
      <c r="D657" s="8">
        <f ca="1">ROUND(YEARFRAC(NEET[[#This Row],[Date_of_Birth]],TODAY()),0)</f>
        <v>26</v>
      </c>
      <c r="E657" t="s">
        <v>42</v>
      </c>
      <c r="F657" t="s">
        <v>15</v>
      </c>
      <c r="G657" t="s">
        <v>34</v>
      </c>
      <c r="H657">
        <v>2</v>
      </c>
      <c r="I657">
        <v>90</v>
      </c>
      <c r="J657">
        <v>79</v>
      </c>
      <c r="K657">
        <v>120</v>
      </c>
      <c r="L657">
        <v>289</v>
      </c>
      <c r="M657">
        <v>2024</v>
      </c>
    </row>
    <row r="658" spans="1:13" x14ac:dyDescent="0.25">
      <c r="A658" t="s">
        <v>695</v>
      </c>
      <c r="B658" t="s">
        <v>20</v>
      </c>
      <c r="C658" s="1">
        <v>37658</v>
      </c>
      <c r="D658" s="8">
        <f ca="1">ROUND(YEARFRAC(NEET[[#This Row],[Date_of_Birth]],TODAY()),0)</f>
        <v>23</v>
      </c>
      <c r="E658" t="s">
        <v>53</v>
      </c>
      <c r="F658" t="s">
        <v>15</v>
      </c>
      <c r="G658" t="s">
        <v>22</v>
      </c>
      <c r="H658">
        <v>2</v>
      </c>
      <c r="I658">
        <v>79</v>
      </c>
      <c r="J658">
        <v>58</v>
      </c>
      <c r="K658">
        <v>136</v>
      </c>
      <c r="L658">
        <v>273</v>
      </c>
      <c r="M658">
        <v>2023</v>
      </c>
    </row>
    <row r="659" spans="1:13" x14ac:dyDescent="0.25">
      <c r="A659" t="s">
        <v>696</v>
      </c>
      <c r="B659" t="s">
        <v>20</v>
      </c>
      <c r="C659" s="1">
        <v>36747</v>
      </c>
      <c r="D659" s="8">
        <f ca="1">ROUND(YEARFRAC(NEET[[#This Row],[Date_of_Birth]],TODAY()),0)</f>
        <v>26</v>
      </c>
      <c r="E659" t="s">
        <v>21</v>
      </c>
      <c r="F659" t="s">
        <v>21</v>
      </c>
      <c r="G659" t="s">
        <v>16</v>
      </c>
      <c r="H659">
        <v>3</v>
      </c>
      <c r="I659">
        <v>123</v>
      </c>
      <c r="J659">
        <v>102</v>
      </c>
      <c r="K659">
        <v>167</v>
      </c>
      <c r="L659">
        <v>392</v>
      </c>
      <c r="M659">
        <v>2026</v>
      </c>
    </row>
    <row r="660" spans="1:13" x14ac:dyDescent="0.25">
      <c r="A660" t="s">
        <v>697</v>
      </c>
      <c r="B660" t="s">
        <v>13</v>
      </c>
      <c r="C660" s="1">
        <v>36703</v>
      </c>
      <c r="D660" s="8">
        <f ca="1">ROUND(YEARFRAC(NEET[[#This Row],[Date_of_Birth]],TODAY()),0)</f>
        <v>26</v>
      </c>
      <c r="E660" t="s">
        <v>14</v>
      </c>
      <c r="F660" t="s">
        <v>15</v>
      </c>
      <c r="G660" t="s">
        <v>16</v>
      </c>
      <c r="H660">
        <v>4</v>
      </c>
      <c r="I660">
        <v>43</v>
      </c>
      <c r="J660">
        <v>167</v>
      </c>
      <c r="K660">
        <v>150</v>
      </c>
      <c r="L660">
        <v>360</v>
      </c>
      <c r="M660">
        <v>2023</v>
      </c>
    </row>
    <row r="661" spans="1:13" x14ac:dyDescent="0.25">
      <c r="A661" t="s">
        <v>698</v>
      </c>
      <c r="B661" t="s">
        <v>20</v>
      </c>
      <c r="C661" s="1">
        <v>36816</v>
      </c>
      <c r="D661" s="8">
        <f ca="1">ROUND(YEARFRAC(NEET[[#This Row],[Date_of_Birth]],TODAY()),0)</f>
        <v>26</v>
      </c>
      <c r="E661" t="s">
        <v>48</v>
      </c>
      <c r="F661" t="s">
        <v>49</v>
      </c>
      <c r="G661" t="s">
        <v>29</v>
      </c>
      <c r="H661">
        <v>2</v>
      </c>
      <c r="I661">
        <v>90</v>
      </c>
      <c r="J661">
        <v>143</v>
      </c>
      <c r="K661">
        <v>356</v>
      </c>
      <c r="L661">
        <v>589</v>
      </c>
      <c r="M661">
        <v>2024</v>
      </c>
    </row>
    <row r="662" spans="1:13" x14ac:dyDescent="0.25">
      <c r="A662" t="s">
        <v>699</v>
      </c>
      <c r="B662" t="s">
        <v>20</v>
      </c>
      <c r="C662" s="1">
        <v>39716</v>
      </c>
      <c r="D662" s="8">
        <f ca="1">ROUND(YEARFRAC(NEET[[#This Row],[Date_of_Birth]],TODAY()),0)</f>
        <v>18</v>
      </c>
      <c r="E662" t="s">
        <v>14</v>
      </c>
      <c r="F662" t="s">
        <v>15</v>
      </c>
      <c r="G662" t="s">
        <v>34</v>
      </c>
      <c r="H662">
        <v>2</v>
      </c>
      <c r="I662">
        <v>113</v>
      </c>
      <c r="J662">
        <v>88</v>
      </c>
      <c r="K662">
        <v>110</v>
      </c>
      <c r="L662">
        <v>311</v>
      </c>
      <c r="M662">
        <v>2024</v>
      </c>
    </row>
    <row r="663" spans="1:13" x14ac:dyDescent="0.25">
      <c r="A663" t="s">
        <v>700</v>
      </c>
      <c r="B663" t="s">
        <v>13</v>
      </c>
      <c r="C663" s="1">
        <v>36827</v>
      </c>
      <c r="D663" s="8">
        <f ca="1">ROUND(YEARFRAC(NEET[[#This Row],[Date_of_Birth]],TODAY()),0)</f>
        <v>26</v>
      </c>
      <c r="E663" t="s">
        <v>73</v>
      </c>
      <c r="F663" t="s">
        <v>15</v>
      </c>
      <c r="G663" t="s">
        <v>16</v>
      </c>
      <c r="H663">
        <v>2</v>
      </c>
      <c r="I663">
        <v>179</v>
      </c>
      <c r="J663">
        <v>154</v>
      </c>
      <c r="K663">
        <v>87</v>
      </c>
      <c r="L663">
        <v>420</v>
      </c>
      <c r="M663">
        <v>2026</v>
      </c>
    </row>
    <row r="664" spans="1:13" x14ac:dyDescent="0.25">
      <c r="A664" t="s">
        <v>701</v>
      </c>
      <c r="B664" t="s">
        <v>20</v>
      </c>
      <c r="C664" s="1">
        <v>37255</v>
      </c>
      <c r="D664" s="8">
        <f ca="1">ROUND(YEARFRAC(NEET[[#This Row],[Date_of_Birth]],TODAY()),0)</f>
        <v>24</v>
      </c>
      <c r="E664" t="s">
        <v>18</v>
      </c>
      <c r="F664" t="s">
        <v>15</v>
      </c>
      <c r="G664" t="s">
        <v>22</v>
      </c>
      <c r="H664">
        <v>3</v>
      </c>
      <c r="I664">
        <v>125</v>
      </c>
      <c r="J664">
        <v>64</v>
      </c>
      <c r="K664">
        <v>294</v>
      </c>
      <c r="L664">
        <v>483</v>
      </c>
      <c r="M664">
        <v>2025</v>
      </c>
    </row>
    <row r="665" spans="1:13" x14ac:dyDescent="0.25">
      <c r="A665" t="s">
        <v>702</v>
      </c>
      <c r="B665" t="s">
        <v>13</v>
      </c>
      <c r="C665" s="1">
        <v>37047</v>
      </c>
      <c r="D665" s="8">
        <f ca="1">ROUND(YEARFRAC(NEET[[#This Row],[Date_of_Birth]],TODAY()),0)</f>
        <v>25</v>
      </c>
      <c r="E665" t="s">
        <v>53</v>
      </c>
      <c r="F665" t="s">
        <v>15</v>
      </c>
      <c r="G665" t="s">
        <v>34</v>
      </c>
      <c r="H665">
        <v>4</v>
      </c>
      <c r="I665">
        <v>175</v>
      </c>
      <c r="J665">
        <v>45</v>
      </c>
      <c r="K665">
        <v>203</v>
      </c>
      <c r="L665">
        <v>423</v>
      </c>
      <c r="M665">
        <v>2026</v>
      </c>
    </row>
    <row r="666" spans="1:13" x14ac:dyDescent="0.25">
      <c r="A666" t="s">
        <v>703</v>
      </c>
      <c r="B666" t="s">
        <v>13</v>
      </c>
      <c r="C666" s="1">
        <v>37227</v>
      </c>
      <c r="D666" s="8">
        <f ca="1">ROUND(YEARFRAC(NEET[[#This Row],[Date_of_Birth]],TODAY()),0)</f>
        <v>24</v>
      </c>
      <c r="E666" t="s">
        <v>69</v>
      </c>
      <c r="F666" t="s">
        <v>70</v>
      </c>
      <c r="G666" t="s">
        <v>25</v>
      </c>
      <c r="H666">
        <v>2</v>
      </c>
      <c r="I666">
        <v>117</v>
      </c>
      <c r="J666">
        <v>86</v>
      </c>
      <c r="K666">
        <v>211</v>
      </c>
      <c r="L666">
        <v>414</v>
      </c>
      <c r="M666">
        <v>2026</v>
      </c>
    </row>
    <row r="667" spans="1:13" x14ac:dyDescent="0.25">
      <c r="A667" t="s">
        <v>704</v>
      </c>
      <c r="B667" t="s">
        <v>13</v>
      </c>
      <c r="C667" s="1">
        <v>38663</v>
      </c>
      <c r="D667" s="8">
        <f ca="1">ROUND(YEARFRAC(NEET[[#This Row],[Date_of_Birth]],TODAY()),0)</f>
        <v>21</v>
      </c>
      <c r="E667" t="s">
        <v>73</v>
      </c>
      <c r="F667" t="s">
        <v>15</v>
      </c>
      <c r="G667" t="s">
        <v>22</v>
      </c>
      <c r="H667">
        <v>4</v>
      </c>
      <c r="I667">
        <v>85</v>
      </c>
      <c r="J667">
        <v>151</v>
      </c>
      <c r="K667">
        <v>296</v>
      </c>
      <c r="L667">
        <v>532</v>
      </c>
      <c r="M667">
        <v>2024</v>
      </c>
    </row>
    <row r="668" spans="1:13" x14ac:dyDescent="0.25">
      <c r="A668" t="s">
        <v>705</v>
      </c>
      <c r="B668" t="s">
        <v>20</v>
      </c>
      <c r="C668" s="1">
        <v>37866</v>
      </c>
      <c r="D668" s="8">
        <f ca="1">ROUND(YEARFRAC(NEET[[#This Row],[Date_of_Birth]],TODAY()),0)</f>
        <v>23</v>
      </c>
      <c r="E668" t="s">
        <v>18</v>
      </c>
      <c r="F668" t="s">
        <v>15</v>
      </c>
      <c r="G668" t="s">
        <v>25</v>
      </c>
      <c r="H668">
        <v>1</v>
      </c>
      <c r="I668">
        <v>178</v>
      </c>
      <c r="J668">
        <v>86</v>
      </c>
      <c r="K668">
        <v>136</v>
      </c>
      <c r="L668">
        <v>400</v>
      </c>
      <c r="M668">
        <v>2026</v>
      </c>
    </row>
    <row r="669" spans="1:13" x14ac:dyDescent="0.25">
      <c r="A669" t="s">
        <v>706</v>
      </c>
      <c r="B669" t="s">
        <v>20</v>
      </c>
      <c r="C669" s="1">
        <v>39530</v>
      </c>
      <c r="D669" s="8">
        <f ca="1">ROUND(YEARFRAC(NEET[[#This Row],[Date_of_Birth]],TODAY()),0)</f>
        <v>18</v>
      </c>
      <c r="E669" t="s">
        <v>69</v>
      </c>
      <c r="F669" t="s">
        <v>70</v>
      </c>
      <c r="G669" t="s">
        <v>34</v>
      </c>
      <c r="H669">
        <v>1</v>
      </c>
      <c r="I669">
        <v>159</v>
      </c>
      <c r="J669">
        <v>38</v>
      </c>
      <c r="K669">
        <v>277</v>
      </c>
      <c r="L669">
        <v>474</v>
      </c>
      <c r="M669">
        <v>2026</v>
      </c>
    </row>
    <row r="670" spans="1:13" x14ac:dyDescent="0.25">
      <c r="A670" t="s">
        <v>707</v>
      </c>
      <c r="B670" t="s">
        <v>13</v>
      </c>
      <c r="C670" s="1">
        <v>37511</v>
      </c>
      <c r="D670" s="8">
        <f ca="1">ROUND(YEARFRAC(NEET[[#This Row],[Date_of_Birth]],TODAY()),0)</f>
        <v>24</v>
      </c>
      <c r="E670" t="s">
        <v>14</v>
      </c>
      <c r="F670" t="s">
        <v>15</v>
      </c>
      <c r="G670" t="s">
        <v>29</v>
      </c>
      <c r="H670">
        <v>3</v>
      </c>
      <c r="I670">
        <v>172</v>
      </c>
      <c r="J670">
        <v>33</v>
      </c>
      <c r="K670">
        <v>268</v>
      </c>
      <c r="L670">
        <v>473</v>
      </c>
      <c r="M670">
        <v>2024</v>
      </c>
    </row>
    <row r="671" spans="1:13" x14ac:dyDescent="0.25">
      <c r="A671" t="s">
        <v>708</v>
      </c>
      <c r="B671" t="s">
        <v>20</v>
      </c>
      <c r="C671" s="1">
        <v>39178</v>
      </c>
      <c r="D671" s="8">
        <f ca="1">ROUND(YEARFRAC(NEET[[#This Row],[Date_of_Birth]],TODAY()),0)</f>
        <v>19</v>
      </c>
      <c r="E671" t="s">
        <v>14</v>
      </c>
      <c r="F671" t="s">
        <v>15</v>
      </c>
      <c r="G671" t="s">
        <v>34</v>
      </c>
      <c r="H671">
        <v>1</v>
      </c>
      <c r="I671">
        <v>34</v>
      </c>
      <c r="J671">
        <v>152</v>
      </c>
      <c r="K671">
        <v>216</v>
      </c>
      <c r="L671">
        <v>402</v>
      </c>
      <c r="M671">
        <v>2026</v>
      </c>
    </row>
    <row r="672" spans="1:13" x14ac:dyDescent="0.25">
      <c r="A672" t="s">
        <v>709</v>
      </c>
      <c r="B672" t="s">
        <v>13</v>
      </c>
      <c r="C672" s="1">
        <v>39687</v>
      </c>
      <c r="D672" s="8">
        <f ca="1">ROUND(YEARFRAC(NEET[[#This Row],[Date_of_Birth]],TODAY()),0)</f>
        <v>18</v>
      </c>
      <c r="E672" t="s">
        <v>40</v>
      </c>
      <c r="F672" t="s">
        <v>15</v>
      </c>
      <c r="G672" t="s">
        <v>34</v>
      </c>
      <c r="H672">
        <v>1</v>
      </c>
      <c r="I672">
        <v>133</v>
      </c>
      <c r="J672">
        <v>77</v>
      </c>
      <c r="K672">
        <v>249</v>
      </c>
      <c r="L672">
        <v>459</v>
      </c>
      <c r="M672">
        <v>2025</v>
      </c>
    </row>
    <row r="673" spans="1:13" x14ac:dyDescent="0.25">
      <c r="A673" t="s">
        <v>710</v>
      </c>
      <c r="B673" t="s">
        <v>13</v>
      </c>
      <c r="C673" s="1">
        <v>38700</v>
      </c>
      <c r="D673" s="8">
        <f ca="1">ROUND(YEARFRAC(NEET[[#This Row],[Date_of_Birth]],TODAY()),0)</f>
        <v>20</v>
      </c>
      <c r="E673" t="s">
        <v>53</v>
      </c>
      <c r="F673" t="s">
        <v>15</v>
      </c>
      <c r="G673" t="s">
        <v>25</v>
      </c>
      <c r="H673">
        <v>3</v>
      </c>
      <c r="I673">
        <v>105</v>
      </c>
      <c r="J673">
        <v>139</v>
      </c>
      <c r="K673">
        <v>198</v>
      </c>
      <c r="L673">
        <v>442</v>
      </c>
      <c r="M673">
        <v>2025</v>
      </c>
    </row>
    <row r="674" spans="1:13" x14ac:dyDescent="0.25">
      <c r="A674" t="s">
        <v>711</v>
      </c>
      <c r="B674" t="s">
        <v>20</v>
      </c>
      <c r="C674" s="1">
        <v>36737</v>
      </c>
      <c r="D674" s="8">
        <f ca="1">ROUND(YEARFRAC(NEET[[#This Row],[Date_of_Birth]],TODAY()),0)</f>
        <v>26</v>
      </c>
      <c r="E674" t="s">
        <v>14</v>
      </c>
      <c r="F674" t="s">
        <v>15</v>
      </c>
      <c r="G674" t="s">
        <v>22</v>
      </c>
      <c r="H674">
        <v>3</v>
      </c>
      <c r="I674">
        <v>128</v>
      </c>
      <c r="J674">
        <v>123</v>
      </c>
      <c r="K674">
        <v>298</v>
      </c>
      <c r="L674">
        <v>549</v>
      </c>
      <c r="M674">
        <v>2023</v>
      </c>
    </row>
    <row r="675" spans="1:13" x14ac:dyDescent="0.25">
      <c r="A675" t="s">
        <v>712</v>
      </c>
      <c r="B675" t="s">
        <v>13</v>
      </c>
      <c r="C675" s="1">
        <v>38822</v>
      </c>
      <c r="D675" s="8">
        <f ca="1">ROUND(YEARFRAC(NEET[[#This Row],[Date_of_Birth]],TODAY()),0)</f>
        <v>20</v>
      </c>
      <c r="E675" t="s">
        <v>36</v>
      </c>
      <c r="F675" t="s">
        <v>37</v>
      </c>
      <c r="G675" t="s">
        <v>16</v>
      </c>
      <c r="H675">
        <v>4</v>
      </c>
      <c r="I675">
        <v>82</v>
      </c>
      <c r="J675">
        <v>65</v>
      </c>
      <c r="K675">
        <v>231</v>
      </c>
      <c r="L675">
        <v>378</v>
      </c>
      <c r="M675">
        <v>2024</v>
      </c>
    </row>
    <row r="676" spans="1:13" x14ac:dyDescent="0.25">
      <c r="A676" t="s">
        <v>713</v>
      </c>
      <c r="B676" t="s">
        <v>20</v>
      </c>
      <c r="C676" s="1">
        <v>39610</v>
      </c>
      <c r="D676" s="8">
        <f ca="1">ROUND(YEARFRAC(NEET[[#This Row],[Date_of_Birth]],TODAY()),0)</f>
        <v>18</v>
      </c>
      <c r="E676" t="s">
        <v>36</v>
      </c>
      <c r="F676" t="s">
        <v>37</v>
      </c>
      <c r="G676" t="s">
        <v>25</v>
      </c>
      <c r="H676">
        <v>3</v>
      </c>
      <c r="I676">
        <v>87</v>
      </c>
      <c r="J676">
        <v>112</v>
      </c>
      <c r="K676">
        <v>240</v>
      </c>
      <c r="L676">
        <v>439</v>
      </c>
      <c r="M676">
        <v>2023</v>
      </c>
    </row>
    <row r="677" spans="1:13" x14ac:dyDescent="0.25">
      <c r="A677" t="s">
        <v>714</v>
      </c>
      <c r="B677" t="s">
        <v>20</v>
      </c>
      <c r="C677" s="1">
        <v>38053</v>
      </c>
      <c r="D677" s="8">
        <f ca="1">ROUND(YEARFRAC(NEET[[#This Row],[Date_of_Birth]],TODAY()),0)</f>
        <v>22</v>
      </c>
      <c r="E677" t="s">
        <v>46</v>
      </c>
      <c r="F677" t="s">
        <v>15</v>
      </c>
      <c r="G677" t="s">
        <v>34</v>
      </c>
      <c r="H677">
        <v>3</v>
      </c>
      <c r="I677">
        <v>145</v>
      </c>
      <c r="J677">
        <v>154</v>
      </c>
      <c r="K677">
        <v>316</v>
      </c>
      <c r="L677">
        <v>615</v>
      </c>
      <c r="M677">
        <v>2025</v>
      </c>
    </row>
    <row r="678" spans="1:13" x14ac:dyDescent="0.25">
      <c r="A678" t="s">
        <v>715</v>
      </c>
      <c r="B678" t="s">
        <v>13</v>
      </c>
      <c r="C678" s="1">
        <v>39802</v>
      </c>
      <c r="D678" s="8">
        <f ca="1">ROUND(YEARFRAC(NEET[[#This Row],[Date_of_Birth]],TODAY()),0)</f>
        <v>17</v>
      </c>
      <c r="E678" t="s">
        <v>21</v>
      </c>
      <c r="F678" t="s">
        <v>21</v>
      </c>
      <c r="G678" t="s">
        <v>22</v>
      </c>
      <c r="H678">
        <v>4</v>
      </c>
      <c r="I678">
        <v>46</v>
      </c>
      <c r="J678">
        <v>78</v>
      </c>
      <c r="K678">
        <v>294</v>
      </c>
      <c r="L678">
        <v>418</v>
      </c>
      <c r="M678">
        <v>2025</v>
      </c>
    </row>
    <row r="679" spans="1:13" x14ac:dyDescent="0.25">
      <c r="A679" t="s">
        <v>716</v>
      </c>
      <c r="B679" t="s">
        <v>20</v>
      </c>
      <c r="C679" s="1">
        <v>36841</v>
      </c>
      <c r="D679" s="8">
        <f ca="1">ROUND(YEARFRAC(NEET[[#This Row],[Date_of_Birth]],TODAY()),0)</f>
        <v>26</v>
      </c>
      <c r="E679" t="s">
        <v>14</v>
      </c>
      <c r="F679" t="s">
        <v>15</v>
      </c>
      <c r="G679" t="s">
        <v>22</v>
      </c>
      <c r="H679">
        <v>2</v>
      </c>
      <c r="I679">
        <v>72</v>
      </c>
      <c r="J679">
        <v>100</v>
      </c>
      <c r="K679">
        <v>117</v>
      </c>
      <c r="L679">
        <v>289</v>
      </c>
      <c r="M679">
        <v>2023</v>
      </c>
    </row>
    <row r="680" spans="1:13" x14ac:dyDescent="0.25">
      <c r="A680" t="s">
        <v>717</v>
      </c>
      <c r="B680" t="s">
        <v>20</v>
      </c>
      <c r="C680" s="1">
        <v>37726</v>
      </c>
      <c r="D680" s="8">
        <f ca="1">ROUND(YEARFRAC(NEET[[#This Row],[Date_of_Birth]],TODAY()),0)</f>
        <v>23</v>
      </c>
      <c r="E680" t="s">
        <v>18</v>
      </c>
      <c r="F680" t="s">
        <v>15</v>
      </c>
      <c r="G680" t="s">
        <v>25</v>
      </c>
      <c r="H680">
        <v>4</v>
      </c>
      <c r="I680">
        <v>168</v>
      </c>
      <c r="J680">
        <v>63</v>
      </c>
      <c r="K680">
        <v>302</v>
      </c>
      <c r="L680">
        <v>533</v>
      </c>
      <c r="M680">
        <v>2025</v>
      </c>
    </row>
    <row r="681" spans="1:13" x14ac:dyDescent="0.25">
      <c r="A681" t="s">
        <v>718</v>
      </c>
      <c r="B681" t="s">
        <v>20</v>
      </c>
      <c r="C681" s="1">
        <v>37300</v>
      </c>
      <c r="D681" s="8">
        <f ca="1">ROUND(YEARFRAC(NEET[[#This Row],[Date_of_Birth]],TODAY()),0)</f>
        <v>24</v>
      </c>
      <c r="E681" t="s">
        <v>14</v>
      </c>
      <c r="F681" t="s">
        <v>15</v>
      </c>
      <c r="G681" t="s">
        <v>29</v>
      </c>
      <c r="H681">
        <v>3</v>
      </c>
      <c r="I681">
        <v>35</v>
      </c>
      <c r="J681">
        <v>89</v>
      </c>
      <c r="K681">
        <v>326</v>
      </c>
      <c r="L681">
        <v>450</v>
      </c>
      <c r="M681">
        <v>2026</v>
      </c>
    </row>
    <row r="682" spans="1:13" x14ac:dyDescent="0.25">
      <c r="A682" t="s">
        <v>719</v>
      </c>
      <c r="B682" t="s">
        <v>20</v>
      </c>
      <c r="C682" s="1">
        <v>38956</v>
      </c>
      <c r="D682" s="8">
        <f ca="1">ROUND(YEARFRAC(NEET[[#This Row],[Date_of_Birth]],TODAY()),0)</f>
        <v>20</v>
      </c>
      <c r="E682" t="s">
        <v>21</v>
      </c>
      <c r="F682" t="s">
        <v>21</v>
      </c>
      <c r="G682" t="s">
        <v>29</v>
      </c>
      <c r="H682">
        <v>2</v>
      </c>
      <c r="I682">
        <v>165</v>
      </c>
      <c r="J682">
        <v>170</v>
      </c>
      <c r="K682">
        <v>287</v>
      </c>
      <c r="L682">
        <v>622</v>
      </c>
      <c r="M682">
        <v>2024</v>
      </c>
    </row>
    <row r="683" spans="1:13" x14ac:dyDescent="0.25">
      <c r="A683" t="s">
        <v>720</v>
      </c>
      <c r="B683" t="s">
        <v>13</v>
      </c>
      <c r="C683" s="1">
        <v>39758</v>
      </c>
      <c r="D683" s="8">
        <f ca="1">ROUND(YEARFRAC(NEET[[#This Row],[Date_of_Birth]],TODAY()),0)</f>
        <v>18</v>
      </c>
      <c r="E683" t="s">
        <v>24</v>
      </c>
      <c r="F683" t="s">
        <v>15</v>
      </c>
      <c r="G683" t="s">
        <v>29</v>
      </c>
      <c r="H683">
        <v>2</v>
      </c>
      <c r="I683">
        <v>88</v>
      </c>
      <c r="J683">
        <v>153</v>
      </c>
      <c r="K683">
        <v>250</v>
      </c>
      <c r="L683">
        <v>491</v>
      </c>
      <c r="M683">
        <v>2025</v>
      </c>
    </row>
    <row r="684" spans="1:13" x14ac:dyDescent="0.25">
      <c r="A684" t="s">
        <v>721</v>
      </c>
      <c r="B684" t="s">
        <v>13</v>
      </c>
      <c r="C684" s="1">
        <v>38393</v>
      </c>
      <c r="D684" s="8">
        <f ca="1">ROUND(YEARFRAC(NEET[[#This Row],[Date_of_Birth]],TODAY()),0)</f>
        <v>21</v>
      </c>
      <c r="E684" t="s">
        <v>40</v>
      </c>
      <c r="F684" t="s">
        <v>15</v>
      </c>
      <c r="G684" t="s">
        <v>22</v>
      </c>
      <c r="H684">
        <v>2</v>
      </c>
      <c r="I684">
        <v>71</v>
      </c>
      <c r="J684">
        <v>167</v>
      </c>
      <c r="K684">
        <v>206</v>
      </c>
      <c r="L684">
        <v>444</v>
      </c>
      <c r="M684">
        <v>2024</v>
      </c>
    </row>
    <row r="685" spans="1:13" x14ac:dyDescent="0.25">
      <c r="A685" t="s">
        <v>722</v>
      </c>
      <c r="B685" t="s">
        <v>20</v>
      </c>
      <c r="C685" s="1">
        <v>37004</v>
      </c>
      <c r="D685" s="8">
        <f ca="1">ROUND(YEARFRAC(NEET[[#This Row],[Date_of_Birth]],TODAY()),0)</f>
        <v>25</v>
      </c>
      <c r="E685" t="s">
        <v>53</v>
      </c>
      <c r="F685" t="s">
        <v>15</v>
      </c>
      <c r="G685" t="s">
        <v>22</v>
      </c>
      <c r="H685">
        <v>3</v>
      </c>
      <c r="I685">
        <v>111</v>
      </c>
      <c r="J685">
        <v>177</v>
      </c>
      <c r="K685">
        <v>124</v>
      </c>
      <c r="L685">
        <v>412</v>
      </c>
      <c r="M685">
        <v>2024</v>
      </c>
    </row>
    <row r="686" spans="1:13" x14ac:dyDescent="0.25">
      <c r="A686" t="s">
        <v>723</v>
      </c>
      <c r="B686" t="s">
        <v>20</v>
      </c>
      <c r="C686" s="1">
        <v>38829</v>
      </c>
      <c r="D686" s="8">
        <f ca="1">ROUND(YEARFRAC(NEET[[#This Row],[Date_of_Birth]],TODAY()),0)</f>
        <v>20</v>
      </c>
      <c r="E686" t="s">
        <v>36</v>
      </c>
      <c r="F686" t="s">
        <v>37</v>
      </c>
      <c r="G686" t="s">
        <v>16</v>
      </c>
      <c r="H686">
        <v>4</v>
      </c>
      <c r="I686">
        <v>38</v>
      </c>
      <c r="J686">
        <v>111</v>
      </c>
      <c r="K686">
        <v>236</v>
      </c>
      <c r="L686">
        <v>385</v>
      </c>
      <c r="M686">
        <v>2024</v>
      </c>
    </row>
    <row r="687" spans="1:13" x14ac:dyDescent="0.25">
      <c r="A687" t="s">
        <v>724</v>
      </c>
      <c r="B687" t="s">
        <v>13</v>
      </c>
      <c r="C687" s="1">
        <v>38711</v>
      </c>
      <c r="D687" s="8">
        <f ca="1">ROUND(YEARFRAC(NEET[[#This Row],[Date_of_Birth]],TODAY()),0)</f>
        <v>20</v>
      </c>
      <c r="E687" t="s">
        <v>24</v>
      </c>
      <c r="F687" t="s">
        <v>15</v>
      </c>
      <c r="G687" t="s">
        <v>29</v>
      </c>
      <c r="H687">
        <v>4</v>
      </c>
      <c r="I687">
        <v>61</v>
      </c>
      <c r="J687">
        <v>36</v>
      </c>
      <c r="K687">
        <v>267</v>
      </c>
      <c r="L687">
        <v>364</v>
      </c>
      <c r="M687">
        <v>2024</v>
      </c>
    </row>
    <row r="688" spans="1:13" x14ac:dyDescent="0.25">
      <c r="A688" t="s">
        <v>725</v>
      </c>
      <c r="B688" t="s">
        <v>20</v>
      </c>
      <c r="C688" s="1">
        <v>36543</v>
      </c>
      <c r="D688" s="8">
        <f ca="1">ROUND(YEARFRAC(NEET[[#This Row],[Date_of_Birth]],TODAY()),0)</f>
        <v>26</v>
      </c>
      <c r="E688" t="s">
        <v>36</v>
      </c>
      <c r="F688" t="s">
        <v>37</v>
      </c>
      <c r="G688" t="s">
        <v>16</v>
      </c>
      <c r="H688">
        <v>3</v>
      </c>
      <c r="I688">
        <v>169</v>
      </c>
      <c r="J688">
        <v>159</v>
      </c>
      <c r="K688">
        <v>229</v>
      </c>
      <c r="L688">
        <v>557</v>
      </c>
      <c r="M688">
        <v>2024</v>
      </c>
    </row>
    <row r="689" spans="1:13" x14ac:dyDescent="0.25">
      <c r="A689" t="s">
        <v>726</v>
      </c>
      <c r="B689" t="s">
        <v>13</v>
      </c>
      <c r="C689" s="1">
        <v>39801</v>
      </c>
      <c r="D689" s="8">
        <f ca="1">ROUND(YEARFRAC(NEET[[#This Row],[Date_of_Birth]],TODAY()),0)</f>
        <v>17</v>
      </c>
      <c r="E689" t="s">
        <v>27</v>
      </c>
      <c r="F689" t="s">
        <v>15</v>
      </c>
      <c r="G689" t="s">
        <v>16</v>
      </c>
      <c r="H689">
        <v>2</v>
      </c>
      <c r="I689">
        <v>143</v>
      </c>
      <c r="J689">
        <v>116</v>
      </c>
      <c r="K689">
        <v>117</v>
      </c>
      <c r="L689">
        <v>376</v>
      </c>
      <c r="M689">
        <v>2023</v>
      </c>
    </row>
    <row r="690" spans="1:13" x14ac:dyDescent="0.25">
      <c r="A690" t="s">
        <v>727</v>
      </c>
      <c r="B690" t="s">
        <v>13</v>
      </c>
      <c r="C690" s="1">
        <v>37787</v>
      </c>
      <c r="D690" s="8">
        <f ca="1">ROUND(YEARFRAC(NEET[[#This Row],[Date_of_Birth]],TODAY()),0)</f>
        <v>23</v>
      </c>
      <c r="E690" t="s">
        <v>53</v>
      </c>
      <c r="F690" t="s">
        <v>15</v>
      </c>
      <c r="G690" t="s">
        <v>25</v>
      </c>
      <c r="H690">
        <v>3</v>
      </c>
      <c r="I690">
        <v>132</v>
      </c>
      <c r="J690">
        <v>86</v>
      </c>
      <c r="K690">
        <v>288</v>
      </c>
      <c r="L690">
        <v>506</v>
      </c>
      <c r="M690">
        <v>2024</v>
      </c>
    </row>
    <row r="691" spans="1:13" x14ac:dyDescent="0.25">
      <c r="A691" t="s">
        <v>728</v>
      </c>
      <c r="B691" t="s">
        <v>13</v>
      </c>
      <c r="C691" s="1">
        <v>38915</v>
      </c>
      <c r="D691" s="8">
        <f ca="1">ROUND(YEARFRAC(NEET[[#This Row],[Date_of_Birth]],TODAY()),0)</f>
        <v>20</v>
      </c>
      <c r="E691" t="s">
        <v>42</v>
      </c>
      <c r="F691" t="s">
        <v>15</v>
      </c>
      <c r="G691" t="s">
        <v>25</v>
      </c>
      <c r="H691">
        <v>4</v>
      </c>
      <c r="I691">
        <v>86</v>
      </c>
      <c r="J691">
        <v>101</v>
      </c>
      <c r="K691">
        <v>160</v>
      </c>
      <c r="L691">
        <v>347</v>
      </c>
      <c r="M691">
        <v>2026</v>
      </c>
    </row>
    <row r="692" spans="1:13" x14ac:dyDescent="0.25">
      <c r="A692" t="s">
        <v>729</v>
      </c>
      <c r="B692" t="s">
        <v>20</v>
      </c>
      <c r="C692" s="1">
        <v>37322</v>
      </c>
      <c r="D692" s="8">
        <f ca="1">ROUND(YEARFRAC(NEET[[#This Row],[Date_of_Birth]],TODAY()),0)</f>
        <v>24</v>
      </c>
      <c r="E692" t="s">
        <v>73</v>
      </c>
      <c r="F692" t="s">
        <v>15</v>
      </c>
      <c r="G692" t="s">
        <v>34</v>
      </c>
      <c r="H692">
        <v>2</v>
      </c>
      <c r="I692">
        <v>111</v>
      </c>
      <c r="J692">
        <v>160</v>
      </c>
      <c r="K692">
        <v>88</v>
      </c>
      <c r="L692">
        <v>359</v>
      </c>
      <c r="M692">
        <v>2025</v>
      </c>
    </row>
    <row r="693" spans="1:13" x14ac:dyDescent="0.25">
      <c r="A693" t="s">
        <v>730</v>
      </c>
      <c r="B693" t="s">
        <v>20</v>
      </c>
      <c r="C693" s="1">
        <v>38107</v>
      </c>
      <c r="D693" s="8">
        <f ca="1">ROUND(YEARFRAC(NEET[[#This Row],[Date_of_Birth]],TODAY()),0)</f>
        <v>22</v>
      </c>
      <c r="E693" t="s">
        <v>46</v>
      </c>
      <c r="F693" t="s">
        <v>15</v>
      </c>
      <c r="G693" t="s">
        <v>16</v>
      </c>
      <c r="H693">
        <v>4</v>
      </c>
      <c r="I693">
        <v>33</v>
      </c>
      <c r="J693">
        <v>102</v>
      </c>
      <c r="K693">
        <v>236</v>
      </c>
      <c r="L693">
        <v>371</v>
      </c>
      <c r="M693">
        <v>2023</v>
      </c>
    </row>
    <row r="694" spans="1:13" x14ac:dyDescent="0.25">
      <c r="A694" t="s">
        <v>731</v>
      </c>
      <c r="B694" t="s">
        <v>13</v>
      </c>
      <c r="C694" s="1">
        <v>37409</v>
      </c>
      <c r="D694" s="8">
        <f ca="1">ROUND(YEARFRAC(NEET[[#This Row],[Date_of_Birth]],TODAY()),0)</f>
        <v>24</v>
      </c>
      <c r="E694" t="s">
        <v>36</v>
      </c>
      <c r="F694" t="s">
        <v>37</v>
      </c>
      <c r="G694" t="s">
        <v>34</v>
      </c>
      <c r="H694">
        <v>4</v>
      </c>
      <c r="I694">
        <v>143</v>
      </c>
      <c r="J694">
        <v>136</v>
      </c>
      <c r="K694">
        <v>286</v>
      </c>
      <c r="L694">
        <v>565</v>
      </c>
      <c r="M694">
        <v>2024</v>
      </c>
    </row>
    <row r="695" spans="1:13" x14ac:dyDescent="0.25">
      <c r="A695" t="s">
        <v>732</v>
      </c>
      <c r="B695" t="s">
        <v>20</v>
      </c>
      <c r="C695" s="1">
        <v>38931</v>
      </c>
      <c r="D695" s="8">
        <f ca="1">ROUND(YEARFRAC(NEET[[#This Row],[Date_of_Birth]],TODAY()),0)</f>
        <v>20</v>
      </c>
      <c r="E695" t="s">
        <v>27</v>
      </c>
      <c r="F695" t="s">
        <v>15</v>
      </c>
      <c r="G695" t="s">
        <v>25</v>
      </c>
      <c r="H695">
        <v>3</v>
      </c>
      <c r="I695">
        <v>52</v>
      </c>
      <c r="J695">
        <v>66</v>
      </c>
      <c r="K695">
        <v>166</v>
      </c>
      <c r="L695">
        <v>284</v>
      </c>
      <c r="M695">
        <v>2026</v>
      </c>
    </row>
    <row r="696" spans="1:13" x14ac:dyDescent="0.25">
      <c r="A696" t="s">
        <v>733</v>
      </c>
      <c r="B696" t="s">
        <v>20</v>
      </c>
      <c r="C696" s="1">
        <v>36888</v>
      </c>
      <c r="D696" s="8">
        <f ca="1">ROUND(YEARFRAC(NEET[[#This Row],[Date_of_Birth]],TODAY()),0)</f>
        <v>25</v>
      </c>
      <c r="E696" t="s">
        <v>53</v>
      </c>
      <c r="F696" t="s">
        <v>15</v>
      </c>
      <c r="G696" t="s">
        <v>22</v>
      </c>
      <c r="H696">
        <v>2</v>
      </c>
      <c r="I696">
        <v>134</v>
      </c>
      <c r="J696">
        <v>99</v>
      </c>
      <c r="K696">
        <v>272</v>
      </c>
      <c r="L696">
        <v>505</v>
      </c>
      <c r="M696">
        <v>2024</v>
      </c>
    </row>
    <row r="697" spans="1:13" x14ac:dyDescent="0.25">
      <c r="A697" t="s">
        <v>734</v>
      </c>
      <c r="B697" t="s">
        <v>20</v>
      </c>
      <c r="C697" s="1">
        <v>38089</v>
      </c>
      <c r="D697" s="8">
        <f ca="1">ROUND(YEARFRAC(NEET[[#This Row],[Date_of_Birth]],TODAY()),0)</f>
        <v>22</v>
      </c>
      <c r="E697" t="s">
        <v>24</v>
      </c>
      <c r="F697" t="s">
        <v>15</v>
      </c>
      <c r="G697" t="s">
        <v>16</v>
      </c>
      <c r="H697">
        <v>4</v>
      </c>
      <c r="I697">
        <v>171</v>
      </c>
      <c r="J697">
        <v>155</v>
      </c>
      <c r="K697">
        <v>81</v>
      </c>
      <c r="L697">
        <v>407</v>
      </c>
      <c r="M697">
        <v>2026</v>
      </c>
    </row>
    <row r="698" spans="1:13" x14ac:dyDescent="0.25">
      <c r="A698" t="s">
        <v>735</v>
      </c>
      <c r="B698" t="s">
        <v>20</v>
      </c>
      <c r="C698" s="1">
        <v>37445</v>
      </c>
      <c r="D698" s="8">
        <f ca="1">ROUND(YEARFRAC(NEET[[#This Row],[Date_of_Birth]],TODAY()),0)</f>
        <v>24</v>
      </c>
      <c r="E698" t="s">
        <v>53</v>
      </c>
      <c r="F698" t="s">
        <v>15</v>
      </c>
      <c r="G698" t="s">
        <v>29</v>
      </c>
      <c r="H698">
        <v>1</v>
      </c>
      <c r="I698">
        <v>30</v>
      </c>
      <c r="J698">
        <v>69</v>
      </c>
      <c r="K698">
        <v>194</v>
      </c>
      <c r="L698">
        <v>293</v>
      </c>
      <c r="M698">
        <v>2026</v>
      </c>
    </row>
    <row r="699" spans="1:13" x14ac:dyDescent="0.25">
      <c r="A699" t="s">
        <v>736</v>
      </c>
      <c r="B699" t="s">
        <v>20</v>
      </c>
      <c r="C699" s="1">
        <v>37260</v>
      </c>
      <c r="D699" s="8">
        <f ca="1">ROUND(YEARFRAC(NEET[[#This Row],[Date_of_Birth]],TODAY()),0)</f>
        <v>24</v>
      </c>
      <c r="E699" t="s">
        <v>73</v>
      </c>
      <c r="F699" t="s">
        <v>15</v>
      </c>
      <c r="G699" t="s">
        <v>16</v>
      </c>
      <c r="H699">
        <v>1</v>
      </c>
      <c r="I699">
        <v>92</v>
      </c>
      <c r="J699">
        <v>37</v>
      </c>
      <c r="K699">
        <v>121</v>
      </c>
      <c r="L699">
        <v>250</v>
      </c>
      <c r="M699">
        <v>2025</v>
      </c>
    </row>
    <row r="700" spans="1:13" x14ac:dyDescent="0.25">
      <c r="A700" t="s">
        <v>737</v>
      </c>
      <c r="B700" t="s">
        <v>13</v>
      </c>
      <c r="C700" s="1">
        <v>38906</v>
      </c>
      <c r="D700" s="8">
        <f ca="1">ROUND(YEARFRAC(NEET[[#This Row],[Date_of_Birth]],TODAY()),0)</f>
        <v>20</v>
      </c>
      <c r="E700" t="s">
        <v>73</v>
      </c>
      <c r="F700" t="s">
        <v>15</v>
      </c>
      <c r="G700" t="s">
        <v>16</v>
      </c>
      <c r="H700">
        <v>3</v>
      </c>
      <c r="I700">
        <v>174</v>
      </c>
      <c r="J700">
        <v>141</v>
      </c>
      <c r="K700">
        <v>192</v>
      </c>
      <c r="L700">
        <v>507</v>
      </c>
      <c r="M700">
        <v>2023</v>
      </c>
    </row>
    <row r="701" spans="1:13" x14ac:dyDescent="0.25">
      <c r="A701" t="s">
        <v>738</v>
      </c>
      <c r="B701" t="s">
        <v>20</v>
      </c>
      <c r="C701" s="1">
        <v>37589</v>
      </c>
      <c r="D701" s="8">
        <f ca="1">ROUND(YEARFRAC(NEET[[#This Row],[Date_of_Birth]],TODAY()),0)</f>
        <v>23</v>
      </c>
      <c r="E701" t="s">
        <v>40</v>
      </c>
      <c r="F701" t="s">
        <v>15</v>
      </c>
      <c r="G701" t="s">
        <v>29</v>
      </c>
      <c r="H701">
        <v>2</v>
      </c>
      <c r="I701">
        <v>178</v>
      </c>
      <c r="J701">
        <v>44</v>
      </c>
      <c r="K701">
        <v>134</v>
      </c>
      <c r="L701">
        <v>356</v>
      </c>
      <c r="M701">
        <v>2024</v>
      </c>
    </row>
    <row r="702" spans="1:13" x14ac:dyDescent="0.25">
      <c r="A702" t="s">
        <v>739</v>
      </c>
      <c r="B702" t="s">
        <v>20</v>
      </c>
      <c r="C702" s="1">
        <v>36742</v>
      </c>
      <c r="D702" s="8">
        <f ca="1">ROUND(YEARFRAC(NEET[[#This Row],[Date_of_Birth]],TODAY()),0)</f>
        <v>26</v>
      </c>
      <c r="E702" t="s">
        <v>24</v>
      </c>
      <c r="F702" t="s">
        <v>15</v>
      </c>
      <c r="G702" t="s">
        <v>16</v>
      </c>
      <c r="H702">
        <v>3</v>
      </c>
      <c r="I702">
        <v>122</v>
      </c>
      <c r="J702">
        <v>137</v>
      </c>
      <c r="K702">
        <v>242</v>
      </c>
      <c r="L702">
        <v>501</v>
      </c>
      <c r="M702">
        <v>2023</v>
      </c>
    </row>
    <row r="703" spans="1:13" x14ac:dyDescent="0.25">
      <c r="A703" t="s">
        <v>740</v>
      </c>
      <c r="B703" t="s">
        <v>20</v>
      </c>
      <c r="C703" s="1">
        <v>38630</v>
      </c>
      <c r="D703" s="8">
        <f ca="1">ROUND(YEARFRAC(NEET[[#This Row],[Date_of_Birth]],TODAY()),0)</f>
        <v>21</v>
      </c>
      <c r="E703" t="s">
        <v>62</v>
      </c>
      <c r="F703" t="s">
        <v>15</v>
      </c>
      <c r="G703" t="s">
        <v>29</v>
      </c>
      <c r="H703">
        <v>3</v>
      </c>
      <c r="I703">
        <v>76</v>
      </c>
      <c r="J703">
        <v>54</v>
      </c>
      <c r="K703">
        <v>145</v>
      </c>
      <c r="L703">
        <v>275</v>
      </c>
      <c r="M703">
        <v>2025</v>
      </c>
    </row>
    <row r="704" spans="1:13" x14ac:dyDescent="0.25">
      <c r="A704" t="s">
        <v>741</v>
      </c>
      <c r="B704" t="s">
        <v>13</v>
      </c>
      <c r="C704" s="1">
        <v>36918</v>
      </c>
      <c r="D704" s="8">
        <f ca="1">ROUND(YEARFRAC(NEET[[#This Row],[Date_of_Birth]],TODAY()),0)</f>
        <v>25</v>
      </c>
      <c r="E704" t="s">
        <v>42</v>
      </c>
      <c r="F704" t="s">
        <v>15</v>
      </c>
      <c r="G704" t="s">
        <v>29</v>
      </c>
      <c r="H704">
        <v>3</v>
      </c>
      <c r="I704">
        <v>178</v>
      </c>
      <c r="J704">
        <v>120</v>
      </c>
      <c r="K704">
        <v>133</v>
      </c>
      <c r="L704">
        <v>431</v>
      </c>
      <c r="M704">
        <v>2026</v>
      </c>
    </row>
    <row r="705" spans="1:13" x14ac:dyDescent="0.25">
      <c r="A705" t="s">
        <v>742</v>
      </c>
      <c r="B705" t="s">
        <v>13</v>
      </c>
      <c r="C705" s="1">
        <v>38213</v>
      </c>
      <c r="D705" s="8">
        <f ca="1">ROUND(YEARFRAC(NEET[[#This Row],[Date_of_Birth]],TODAY()),0)</f>
        <v>22</v>
      </c>
      <c r="E705" t="s">
        <v>46</v>
      </c>
      <c r="F705" t="s">
        <v>15</v>
      </c>
      <c r="G705" t="s">
        <v>16</v>
      </c>
      <c r="H705">
        <v>2</v>
      </c>
      <c r="I705">
        <v>71</v>
      </c>
      <c r="J705">
        <v>56</v>
      </c>
      <c r="K705">
        <v>171</v>
      </c>
      <c r="L705">
        <v>298</v>
      </c>
      <c r="M705">
        <v>2023</v>
      </c>
    </row>
    <row r="706" spans="1:13" x14ac:dyDescent="0.25">
      <c r="A706" t="s">
        <v>743</v>
      </c>
      <c r="B706" t="s">
        <v>20</v>
      </c>
      <c r="C706" s="1">
        <v>38235</v>
      </c>
      <c r="D706" s="8">
        <f ca="1">ROUND(YEARFRAC(NEET[[#This Row],[Date_of_Birth]],TODAY()),0)</f>
        <v>22</v>
      </c>
      <c r="E706" t="s">
        <v>73</v>
      </c>
      <c r="F706" t="s">
        <v>15</v>
      </c>
      <c r="G706" t="s">
        <v>29</v>
      </c>
      <c r="H706">
        <v>3</v>
      </c>
      <c r="I706">
        <v>49</v>
      </c>
      <c r="J706">
        <v>59</v>
      </c>
      <c r="K706">
        <v>127</v>
      </c>
      <c r="L706">
        <v>235</v>
      </c>
      <c r="M706">
        <v>2025</v>
      </c>
    </row>
    <row r="707" spans="1:13" x14ac:dyDescent="0.25">
      <c r="A707" t="s">
        <v>744</v>
      </c>
      <c r="B707" t="s">
        <v>20</v>
      </c>
      <c r="C707" s="1">
        <v>37095</v>
      </c>
      <c r="D707" s="8">
        <f ca="1">ROUND(YEARFRAC(NEET[[#This Row],[Date_of_Birth]],TODAY()),0)</f>
        <v>25</v>
      </c>
      <c r="E707" t="s">
        <v>31</v>
      </c>
      <c r="F707" t="s">
        <v>32</v>
      </c>
      <c r="G707" t="s">
        <v>25</v>
      </c>
      <c r="H707">
        <v>1</v>
      </c>
      <c r="I707">
        <v>143</v>
      </c>
      <c r="J707">
        <v>163</v>
      </c>
      <c r="K707">
        <v>235</v>
      </c>
      <c r="L707">
        <v>541</v>
      </c>
      <c r="M707">
        <v>2024</v>
      </c>
    </row>
    <row r="708" spans="1:13" x14ac:dyDescent="0.25">
      <c r="A708" t="s">
        <v>745</v>
      </c>
      <c r="B708" t="s">
        <v>13</v>
      </c>
      <c r="C708" s="1">
        <v>37053</v>
      </c>
      <c r="D708" s="8">
        <f ca="1">ROUND(YEARFRAC(NEET[[#This Row],[Date_of_Birth]],TODAY()),0)</f>
        <v>25</v>
      </c>
      <c r="E708" t="s">
        <v>31</v>
      </c>
      <c r="F708" t="s">
        <v>32</v>
      </c>
      <c r="G708" t="s">
        <v>25</v>
      </c>
      <c r="H708">
        <v>2</v>
      </c>
      <c r="I708">
        <v>66</v>
      </c>
      <c r="J708">
        <v>88</v>
      </c>
      <c r="K708">
        <v>217</v>
      </c>
      <c r="L708">
        <v>371</v>
      </c>
      <c r="M708">
        <v>2026</v>
      </c>
    </row>
    <row r="709" spans="1:13" x14ac:dyDescent="0.25">
      <c r="A709" t="s">
        <v>746</v>
      </c>
      <c r="B709" t="s">
        <v>20</v>
      </c>
      <c r="C709" s="1">
        <v>39355</v>
      </c>
      <c r="D709" s="8">
        <f ca="1">ROUND(YEARFRAC(NEET[[#This Row],[Date_of_Birth]],TODAY()),0)</f>
        <v>19</v>
      </c>
      <c r="E709" t="s">
        <v>69</v>
      </c>
      <c r="F709" t="s">
        <v>70</v>
      </c>
      <c r="G709" t="s">
        <v>22</v>
      </c>
      <c r="H709">
        <v>1</v>
      </c>
      <c r="I709">
        <v>58</v>
      </c>
      <c r="J709">
        <v>49</v>
      </c>
      <c r="K709">
        <v>69</v>
      </c>
      <c r="L709">
        <v>176</v>
      </c>
      <c r="M709">
        <v>2023</v>
      </c>
    </row>
    <row r="710" spans="1:13" x14ac:dyDescent="0.25">
      <c r="A710" t="s">
        <v>747</v>
      </c>
      <c r="B710" t="s">
        <v>20</v>
      </c>
      <c r="C710" s="1">
        <v>36660</v>
      </c>
      <c r="D710" s="8">
        <f ca="1">ROUND(YEARFRAC(NEET[[#This Row],[Date_of_Birth]],TODAY()),0)</f>
        <v>26</v>
      </c>
      <c r="E710" t="s">
        <v>69</v>
      </c>
      <c r="F710" t="s">
        <v>70</v>
      </c>
      <c r="G710" t="s">
        <v>25</v>
      </c>
      <c r="H710">
        <v>1</v>
      </c>
      <c r="I710">
        <v>161</v>
      </c>
      <c r="J710">
        <v>45</v>
      </c>
      <c r="K710">
        <v>300</v>
      </c>
      <c r="L710">
        <v>506</v>
      </c>
      <c r="M710">
        <v>2025</v>
      </c>
    </row>
    <row r="711" spans="1:13" x14ac:dyDescent="0.25">
      <c r="A711" t="s">
        <v>748</v>
      </c>
      <c r="B711" t="s">
        <v>13</v>
      </c>
      <c r="C711" s="1">
        <v>39260</v>
      </c>
      <c r="D711" s="8">
        <f ca="1">ROUND(YEARFRAC(NEET[[#This Row],[Date_of_Birth]],TODAY()),0)</f>
        <v>19</v>
      </c>
      <c r="E711" t="s">
        <v>53</v>
      </c>
      <c r="F711" t="s">
        <v>15</v>
      </c>
      <c r="G711" t="s">
        <v>25</v>
      </c>
      <c r="H711">
        <v>3</v>
      </c>
      <c r="I711">
        <v>54</v>
      </c>
      <c r="J711">
        <v>61</v>
      </c>
      <c r="K711">
        <v>165</v>
      </c>
      <c r="L711">
        <v>280</v>
      </c>
      <c r="M711">
        <v>2023</v>
      </c>
    </row>
    <row r="712" spans="1:13" x14ac:dyDescent="0.25">
      <c r="A712" t="s">
        <v>749</v>
      </c>
      <c r="B712" t="s">
        <v>13</v>
      </c>
      <c r="C712" s="1">
        <v>37122</v>
      </c>
      <c r="D712" s="8">
        <f ca="1">ROUND(YEARFRAC(NEET[[#This Row],[Date_of_Birth]],TODAY()),0)</f>
        <v>25</v>
      </c>
      <c r="E712" t="s">
        <v>31</v>
      </c>
      <c r="F712" t="s">
        <v>32</v>
      </c>
      <c r="G712" t="s">
        <v>16</v>
      </c>
      <c r="H712">
        <v>2</v>
      </c>
      <c r="I712">
        <v>101</v>
      </c>
      <c r="J712">
        <v>178</v>
      </c>
      <c r="K712">
        <v>238</v>
      </c>
      <c r="L712">
        <v>517</v>
      </c>
      <c r="M712">
        <v>2023</v>
      </c>
    </row>
    <row r="713" spans="1:13" x14ac:dyDescent="0.25">
      <c r="A713" t="s">
        <v>750</v>
      </c>
      <c r="B713" t="s">
        <v>13</v>
      </c>
      <c r="C713" s="1">
        <v>36931</v>
      </c>
      <c r="D713" s="8">
        <f ca="1">ROUND(YEARFRAC(NEET[[#This Row],[Date_of_Birth]],TODAY()),0)</f>
        <v>25</v>
      </c>
      <c r="E713" t="s">
        <v>31</v>
      </c>
      <c r="F713" t="s">
        <v>32</v>
      </c>
      <c r="G713" t="s">
        <v>22</v>
      </c>
      <c r="H713">
        <v>3</v>
      </c>
      <c r="I713">
        <v>178</v>
      </c>
      <c r="J713">
        <v>33</v>
      </c>
      <c r="K713">
        <v>330</v>
      </c>
      <c r="L713">
        <v>541</v>
      </c>
      <c r="M713">
        <v>2023</v>
      </c>
    </row>
    <row r="714" spans="1:13" x14ac:dyDescent="0.25">
      <c r="A714" t="s">
        <v>751</v>
      </c>
      <c r="B714" t="s">
        <v>13</v>
      </c>
      <c r="C714" s="1">
        <v>39497</v>
      </c>
      <c r="D714" s="8">
        <f ca="1">ROUND(YEARFRAC(NEET[[#This Row],[Date_of_Birth]],TODAY()),0)</f>
        <v>18</v>
      </c>
      <c r="E714" t="s">
        <v>14</v>
      </c>
      <c r="F714" t="s">
        <v>15</v>
      </c>
      <c r="G714" t="s">
        <v>25</v>
      </c>
      <c r="H714">
        <v>4</v>
      </c>
      <c r="I714">
        <v>84</v>
      </c>
      <c r="J714">
        <v>159</v>
      </c>
      <c r="K714">
        <v>303</v>
      </c>
      <c r="L714">
        <v>546</v>
      </c>
      <c r="M714">
        <v>2024</v>
      </c>
    </row>
    <row r="715" spans="1:13" x14ac:dyDescent="0.25">
      <c r="A715" t="s">
        <v>752</v>
      </c>
      <c r="B715" t="s">
        <v>20</v>
      </c>
      <c r="C715" s="1">
        <v>37979</v>
      </c>
      <c r="D715" s="8">
        <f ca="1">ROUND(YEARFRAC(NEET[[#This Row],[Date_of_Birth]],TODAY()),0)</f>
        <v>22</v>
      </c>
      <c r="E715" t="s">
        <v>18</v>
      </c>
      <c r="F715" t="s">
        <v>15</v>
      </c>
      <c r="G715" t="s">
        <v>29</v>
      </c>
      <c r="H715">
        <v>1</v>
      </c>
      <c r="I715">
        <v>138</v>
      </c>
      <c r="J715">
        <v>84</v>
      </c>
      <c r="K715">
        <v>323</v>
      </c>
      <c r="L715">
        <v>545</v>
      </c>
      <c r="M715">
        <v>2023</v>
      </c>
    </row>
    <row r="716" spans="1:13" x14ac:dyDescent="0.25">
      <c r="A716" t="s">
        <v>753</v>
      </c>
      <c r="B716" t="s">
        <v>20</v>
      </c>
      <c r="C716" s="1">
        <v>38434</v>
      </c>
      <c r="D716" s="8">
        <f ca="1">ROUND(YEARFRAC(NEET[[#This Row],[Date_of_Birth]],TODAY()),0)</f>
        <v>21</v>
      </c>
      <c r="E716" t="s">
        <v>14</v>
      </c>
      <c r="F716" t="s">
        <v>15</v>
      </c>
      <c r="G716" t="s">
        <v>25</v>
      </c>
      <c r="H716">
        <v>1</v>
      </c>
      <c r="I716">
        <v>163</v>
      </c>
      <c r="J716">
        <v>64</v>
      </c>
      <c r="K716">
        <v>313</v>
      </c>
      <c r="L716">
        <v>540</v>
      </c>
      <c r="M716">
        <v>2025</v>
      </c>
    </row>
    <row r="717" spans="1:13" x14ac:dyDescent="0.25">
      <c r="A717" t="s">
        <v>754</v>
      </c>
      <c r="B717" t="s">
        <v>20</v>
      </c>
      <c r="C717" s="1">
        <v>38548</v>
      </c>
      <c r="D717" s="8">
        <f ca="1">ROUND(YEARFRAC(NEET[[#This Row],[Date_of_Birth]],TODAY()),0)</f>
        <v>21</v>
      </c>
      <c r="E717" t="s">
        <v>14</v>
      </c>
      <c r="F717" t="s">
        <v>15</v>
      </c>
      <c r="G717" t="s">
        <v>16</v>
      </c>
      <c r="H717">
        <v>2</v>
      </c>
      <c r="I717">
        <v>128</v>
      </c>
      <c r="J717">
        <v>102</v>
      </c>
      <c r="K717">
        <v>293</v>
      </c>
      <c r="L717">
        <v>523</v>
      </c>
      <c r="M717">
        <v>2026</v>
      </c>
    </row>
    <row r="718" spans="1:13" x14ac:dyDescent="0.25">
      <c r="A718" t="s">
        <v>755</v>
      </c>
      <c r="B718" t="s">
        <v>20</v>
      </c>
      <c r="C718" s="1">
        <v>37716</v>
      </c>
      <c r="D718" s="8">
        <f ca="1">ROUND(YEARFRAC(NEET[[#This Row],[Date_of_Birth]],TODAY()),0)</f>
        <v>23</v>
      </c>
      <c r="E718" t="s">
        <v>31</v>
      </c>
      <c r="F718" t="s">
        <v>32</v>
      </c>
      <c r="G718" t="s">
        <v>25</v>
      </c>
      <c r="H718">
        <v>2</v>
      </c>
      <c r="I718">
        <v>139</v>
      </c>
      <c r="J718">
        <v>78</v>
      </c>
      <c r="K718">
        <v>95</v>
      </c>
      <c r="L718">
        <v>312</v>
      </c>
      <c r="M718">
        <v>2026</v>
      </c>
    </row>
    <row r="719" spans="1:13" x14ac:dyDescent="0.25">
      <c r="A719" t="s">
        <v>756</v>
      </c>
      <c r="B719" t="s">
        <v>13</v>
      </c>
      <c r="C719" s="1">
        <v>39278</v>
      </c>
      <c r="D719" s="8">
        <f ca="1">ROUND(YEARFRAC(NEET[[#This Row],[Date_of_Birth]],TODAY()),0)</f>
        <v>19</v>
      </c>
      <c r="E719" t="s">
        <v>14</v>
      </c>
      <c r="F719" t="s">
        <v>15</v>
      </c>
      <c r="G719" t="s">
        <v>34</v>
      </c>
      <c r="H719">
        <v>2</v>
      </c>
      <c r="I719">
        <v>131</v>
      </c>
      <c r="J719">
        <v>142</v>
      </c>
      <c r="K719">
        <v>327</v>
      </c>
      <c r="L719">
        <v>600</v>
      </c>
      <c r="M719">
        <v>2026</v>
      </c>
    </row>
    <row r="720" spans="1:13" x14ac:dyDescent="0.25">
      <c r="A720" t="s">
        <v>757</v>
      </c>
      <c r="B720" t="s">
        <v>13</v>
      </c>
      <c r="C720" s="1">
        <v>39372</v>
      </c>
      <c r="D720" s="8">
        <f ca="1">ROUND(YEARFRAC(NEET[[#This Row],[Date_of_Birth]],TODAY()),0)</f>
        <v>19</v>
      </c>
      <c r="E720" t="s">
        <v>27</v>
      </c>
      <c r="F720" t="s">
        <v>15</v>
      </c>
      <c r="G720" t="s">
        <v>22</v>
      </c>
      <c r="H720">
        <v>3</v>
      </c>
      <c r="I720">
        <v>56</v>
      </c>
      <c r="J720">
        <v>73</v>
      </c>
      <c r="K720">
        <v>93</v>
      </c>
      <c r="L720">
        <v>222</v>
      </c>
      <c r="M720">
        <v>2026</v>
      </c>
    </row>
    <row r="721" spans="1:13" x14ac:dyDescent="0.25">
      <c r="A721" t="s">
        <v>758</v>
      </c>
      <c r="B721" t="s">
        <v>20</v>
      </c>
      <c r="C721" s="1">
        <v>37028</v>
      </c>
      <c r="D721" s="8">
        <f ca="1">ROUND(YEARFRAC(NEET[[#This Row],[Date_of_Birth]],TODAY()),0)</f>
        <v>25</v>
      </c>
      <c r="E721" t="s">
        <v>62</v>
      </c>
      <c r="F721" t="s">
        <v>15</v>
      </c>
      <c r="G721" t="s">
        <v>34</v>
      </c>
      <c r="H721">
        <v>3</v>
      </c>
      <c r="I721">
        <v>138</v>
      </c>
      <c r="J721">
        <v>157</v>
      </c>
      <c r="K721">
        <v>202</v>
      </c>
      <c r="L721">
        <v>497</v>
      </c>
      <c r="M721">
        <v>2026</v>
      </c>
    </row>
    <row r="722" spans="1:13" x14ac:dyDescent="0.25">
      <c r="A722" t="s">
        <v>759</v>
      </c>
      <c r="B722" t="s">
        <v>13</v>
      </c>
      <c r="C722" s="1">
        <v>38510</v>
      </c>
      <c r="D722" s="8">
        <f ca="1">ROUND(YEARFRAC(NEET[[#This Row],[Date_of_Birth]],TODAY()),0)</f>
        <v>21</v>
      </c>
      <c r="E722" t="s">
        <v>42</v>
      </c>
      <c r="F722" t="s">
        <v>15</v>
      </c>
      <c r="G722" t="s">
        <v>34</v>
      </c>
      <c r="H722">
        <v>3</v>
      </c>
      <c r="I722">
        <v>101</v>
      </c>
      <c r="J722">
        <v>67</v>
      </c>
      <c r="K722">
        <v>292</v>
      </c>
      <c r="L722">
        <v>460</v>
      </c>
      <c r="M722">
        <v>2026</v>
      </c>
    </row>
    <row r="723" spans="1:13" x14ac:dyDescent="0.25">
      <c r="A723" t="s">
        <v>760</v>
      </c>
      <c r="B723" t="s">
        <v>13</v>
      </c>
      <c r="C723" s="1">
        <v>37471</v>
      </c>
      <c r="D723" s="8">
        <f ca="1">ROUND(YEARFRAC(NEET[[#This Row],[Date_of_Birth]],TODAY()),0)</f>
        <v>24</v>
      </c>
      <c r="E723" t="s">
        <v>21</v>
      </c>
      <c r="F723" t="s">
        <v>21</v>
      </c>
      <c r="G723" t="s">
        <v>25</v>
      </c>
      <c r="H723">
        <v>4</v>
      </c>
      <c r="I723">
        <v>64</v>
      </c>
      <c r="J723">
        <v>37</v>
      </c>
      <c r="K723">
        <v>110</v>
      </c>
      <c r="L723">
        <v>211</v>
      </c>
      <c r="M723">
        <v>2024</v>
      </c>
    </row>
    <row r="724" spans="1:13" x14ac:dyDescent="0.25">
      <c r="A724" t="s">
        <v>761</v>
      </c>
      <c r="B724" t="s">
        <v>13</v>
      </c>
      <c r="C724" s="1">
        <v>38093</v>
      </c>
      <c r="D724" s="8">
        <f ca="1">ROUND(YEARFRAC(NEET[[#This Row],[Date_of_Birth]],TODAY()),0)</f>
        <v>22</v>
      </c>
      <c r="E724" t="s">
        <v>27</v>
      </c>
      <c r="F724" t="s">
        <v>15</v>
      </c>
      <c r="G724" t="s">
        <v>34</v>
      </c>
      <c r="H724">
        <v>4</v>
      </c>
      <c r="I724">
        <v>113</v>
      </c>
      <c r="J724">
        <v>69</v>
      </c>
      <c r="K724">
        <v>215</v>
      </c>
      <c r="L724">
        <v>397</v>
      </c>
      <c r="M724">
        <v>2024</v>
      </c>
    </row>
    <row r="725" spans="1:13" x14ac:dyDescent="0.25">
      <c r="A725" t="s">
        <v>762</v>
      </c>
      <c r="B725" t="s">
        <v>20</v>
      </c>
      <c r="C725" s="1">
        <v>37728</v>
      </c>
      <c r="D725" s="8">
        <f ca="1">ROUND(YEARFRAC(NEET[[#This Row],[Date_of_Birth]],TODAY()),0)</f>
        <v>23</v>
      </c>
      <c r="E725" t="s">
        <v>21</v>
      </c>
      <c r="F725" t="s">
        <v>21</v>
      </c>
      <c r="G725" t="s">
        <v>25</v>
      </c>
      <c r="H725">
        <v>1</v>
      </c>
      <c r="I725">
        <v>157</v>
      </c>
      <c r="J725">
        <v>155</v>
      </c>
      <c r="K725">
        <v>318</v>
      </c>
      <c r="L725">
        <v>630</v>
      </c>
      <c r="M725">
        <v>2026</v>
      </c>
    </row>
    <row r="726" spans="1:13" x14ac:dyDescent="0.25">
      <c r="A726" t="s">
        <v>763</v>
      </c>
      <c r="B726" t="s">
        <v>20</v>
      </c>
      <c r="C726" s="1">
        <v>37013</v>
      </c>
      <c r="D726" s="8">
        <f ca="1">ROUND(YEARFRAC(NEET[[#This Row],[Date_of_Birth]],TODAY()),0)</f>
        <v>25</v>
      </c>
      <c r="E726" t="s">
        <v>18</v>
      </c>
      <c r="F726" t="s">
        <v>15</v>
      </c>
      <c r="G726" t="s">
        <v>25</v>
      </c>
      <c r="H726">
        <v>1</v>
      </c>
      <c r="I726">
        <v>145</v>
      </c>
      <c r="J726">
        <v>110</v>
      </c>
      <c r="K726">
        <v>252</v>
      </c>
      <c r="L726">
        <v>507</v>
      </c>
      <c r="M726">
        <v>2024</v>
      </c>
    </row>
    <row r="727" spans="1:13" x14ac:dyDescent="0.25">
      <c r="A727" t="s">
        <v>764</v>
      </c>
      <c r="B727" t="s">
        <v>13</v>
      </c>
      <c r="C727" s="1">
        <v>38806</v>
      </c>
      <c r="D727" s="8">
        <f ca="1">ROUND(YEARFRAC(NEET[[#This Row],[Date_of_Birth]],TODAY()),0)</f>
        <v>20</v>
      </c>
      <c r="E727" t="s">
        <v>21</v>
      </c>
      <c r="F727" t="s">
        <v>21</v>
      </c>
      <c r="G727" t="s">
        <v>34</v>
      </c>
      <c r="H727">
        <v>3</v>
      </c>
      <c r="I727">
        <v>107</v>
      </c>
      <c r="J727">
        <v>72</v>
      </c>
      <c r="K727">
        <v>311</v>
      </c>
      <c r="L727">
        <v>490</v>
      </c>
      <c r="M727">
        <v>2026</v>
      </c>
    </row>
    <row r="728" spans="1:13" x14ac:dyDescent="0.25">
      <c r="A728" t="s">
        <v>765</v>
      </c>
      <c r="B728" t="s">
        <v>20</v>
      </c>
      <c r="C728" s="1">
        <v>39655</v>
      </c>
      <c r="D728" s="8">
        <f ca="1">ROUND(YEARFRAC(NEET[[#This Row],[Date_of_Birth]],TODAY()),0)</f>
        <v>18</v>
      </c>
      <c r="E728" t="s">
        <v>14</v>
      </c>
      <c r="F728" t="s">
        <v>15</v>
      </c>
      <c r="G728" t="s">
        <v>16</v>
      </c>
      <c r="H728">
        <v>2</v>
      </c>
      <c r="I728">
        <v>175</v>
      </c>
      <c r="J728">
        <v>155</v>
      </c>
      <c r="K728">
        <v>343</v>
      </c>
      <c r="L728">
        <v>673</v>
      </c>
      <c r="M728">
        <v>2023</v>
      </c>
    </row>
    <row r="729" spans="1:13" x14ac:dyDescent="0.25">
      <c r="A729" t="s">
        <v>766</v>
      </c>
      <c r="B729" t="s">
        <v>20</v>
      </c>
      <c r="C729" s="1">
        <v>38129</v>
      </c>
      <c r="D729" s="8">
        <f ca="1">ROUND(YEARFRAC(NEET[[#This Row],[Date_of_Birth]],TODAY()),0)</f>
        <v>22</v>
      </c>
      <c r="E729" t="s">
        <v>24</v>
      </c>
      <c r="F729" t="s">
        <v>15</v>
      </c>
      <c r="G729" t="s">
        <v>25</v>
      </c>
      <c r="H729">
        <v>1</v>
      </c>
      <c r="I729">
        <v>156</v>
      </c>
      <c r="J729">
        <v>126</v>
      </c>
      <c r="K729">
        <v>240</v>
      </c>
      <c r="L729">
        <v>522</v>
      </c>
      <c r="M729">
        <v>2023</v>
      </c>
    </row>
    <row r="730" spans="1:13" x14ac:dyDescent="0.25">
      <c r="A730" t="s">
        <v>767</v>
      </c>
      <c r="B730" t="s">
        <v>20</v>
      </c>
      <c r="C730" s="1">
        <v>37051</v>
      </c>
      <c r="D730" s="8">
        <f ca="1">ROUND(YEARFRAC(NEET[[#This Row],[Date_of_Birth]],TODAY()),0)</f>
        <v>25</v>
      </c>
      <c r="E730" t="s">
        <v>31</v>
      </c>
      <c r="F730" t="s">
        <v>32</v>
      </c>
      <c r="G730" t="s">
        <v>25</v>
      </c>
      <c r="H730">
        <v>4</v>
      </c>
      <c r="I730">
        <v>123</v>
      </c>
      <c r="J730">
        <v>119</v>
      </c>
      <c r="K730">
        <v>358</v>
      </c>
      <c r="L730">
        <v>600</v>
      </c>
      <c r="M730">
        <v>2026</v>
      </c>
    </row>
    <row r="731" spans="1:13" x14ac:dyDescent="0.25">
      <c r="A731" t="s">
        <v>768</v>
      </c>
      <c r="B731" t="s">
        <v>13</v>
      </c>
      <c r="C731" s="1">
        <v>37939</v>
      </c>
      <c r="D731" s="8">
        <f ca="1">ROUND(YEARFRAC(NEET[[#This Row],[Date_of_Birth]],TODAY()),0)</f>
        <v>23</v>
      </c>
      <c r="E731" t="s">
        <v>46</v>
      </c>
      <c r="F731" t="s">
        <v>15</v>
      </c>
      <c r="G731" t="s">
        <v>29</v>
      </c>
      <c r="H731">
        <v>2</v>
      </c>
      <c r="I731">
        <v>135</v>
      </c>
      <c r="J731">
        <v>119</v>
      </c>
      <c r="K731">
        <v>88</v>
      </c>
      <c r="L731">
        <v>342</v>
      </c>
      <c r="M731">
        <v>2023</v>
      </c>
    </row>
    <row r="732" spans="1:13" x14ac:dyDescent="0.25">
      <c r="A732" t="s">
        <v>769</v>
      </c>
      <c r="B732" t="s">
        <v>13</v>
      </c>
      <c r="C732" s="1">
        <v>39344</v>
      </c>
      <c r="D732" s="8">
        <f ca="1">ROUND(YEARFRAC(NEET[[#This Row],[Date_of_Birth]],TODAY()),0)</f>
        <v>19</v>
      </c>
      <c r="E732" t="s">
        <v>14</v>
      </c>
      <c r="F732" t="s">
        <v>15</v>
      </c>
      <c r="G732" t="s">
        <v>25</v>
      </c>
      <c r="H732">
        <v>3</v>
      </c>
      <c r="I732">
        <v>108</v>
      </c>
      <c r="J732">
        <v>59</v>
      </c>
      <c r="K732">
        <v>232</v>
      </c>
      <c r="L732">
        <v>399</v>
      </c>
      <c r="M732">
        <v>2026</v>
      </c>
    </row>
    <row r="733" spans="1:13" x14ac:dyDescent="0.25">
      <c r="A733" t="s">
        <v>770</v>
      </c>
      <c r="B733" t="s">
        <v>20</v>
      </c>
      <c r="C733" s="1">
        <v>39220</v>
      </c>
      <c r="D733" s="8">
        <f ca="1">ROUND(YEARFRAC(NEET[[#This Row],[Date_of_Birth]],TODAY()),0)</f>
        <v>19</v>
      </c>
      <c r="E733" t="s">
        <v>31</v>
      </c>
      <c r="F733" t="s">
        <v>32</v>
      </c>
      <c r="G733" t="s">
        <v>34</v>
      </c>
      <c r="H733">
        <v>1</v>
      </c>
      <c r="I733">
        <v>138</v>
      </c>
      <c r="J733">
        <v>175</v>
      </c>
      <c r="K733">
        <v>323</v>
      </c>
      <c r="L733">
        <v>636</v>
      </c>
      <c r="M733">
        <v>2023</v>
      </c>
    </row>
    <row r="734" spans="1:13" x14ac:dyDescent="0.25">
      <c r="A734" t="s">
        <v>771</v>
      </c>
      <c r="B734" t="s">
        <v>20</v>
      </c>
      <c r="C734" s="1">
        <v>37822</v>
      </c>
      <c r="D734" s="8">
        <f ca="1">ROUND(YEARFRAC(NEET[[#This Row],[Date_of_Birth]],TODAY()),0)</f>
        <v>23</v>
      </c>
      <c r="E734" t="s">
        <v>18</v>
      </c>
      <c r="F734" t="s">
        <v>15</v>
      </c>
      <c r="G734" t="s">
        <v>22</v>
      </c>
      <c r="H734">
        <v>1</v>
      </c>
      <c r="I734">
        <v>176</v>
      </c>
      <c r="J734">
        <v>129</v>
      </c>
      <c r="K734">
        <v>225</v>
      </c>
      <c r="L734">
        <v>530</v>
      </c>
      <c r="M734">
        <v>2025</v>
      </c>
    </row>
    <row r="735" spans="1:13" x14ac:dyDescent="0.25">
      <c r="A735" t="s">
        <v>772</v>
      </c>
      <c r="B735" t="s">
        <v>20</v>
      </c>
      <c r="C735" s="1">
        <v>38560</v>
      </c>
      <c r="D735" s="8">
        <f ca="1">ROUND(YEARFRAC(NEET[[#This Row],[Date_of_Birth]],TODAY()),0)</f>
        <v>21</v>
      </c>
      <c r="E735" t="s">
        <v>42</v>
      </c>
      <c r="F735" t="s">
        <v>15</v>
      </c>
      <c r="G735" t="s">
        <v>34</v>
      </c>
      <c r="H735">
        <v>2</v>
      </c>
      <c r="I735">
        <v>116</v>
      </c>
      <c r="J735">
        <v>72</v>
      </c>
      <c r="K735">
        <v>213</v>
      </c>
      <c r="L735">
        <v>401</v>
      </c>
      <c r="M735">
        <v>2023</v>
      </c>
    </row>
    <row r="736" spans="1:13" x14ac:dyDescent="0.25">
      <c r="A736" t="s">
        <v>773</v>
      </c>
      <c r="B736" t="s">
        <v>20</v>
      </c>
      <c r="C736" s="1">
        <v>38720</v>
      </c>
      <c r="D736" s="8">
        <f ca="1">ROUND(YEARFRAC(NEET[[#This Row],[Date_of_Birth]],TODAY()),0)</f>
        <v>20</v>
      </c>
      <c r="E736" t="s">
        <v>62</v>
      </c>
      <c r="F736" t="s">
        <v>15</v>
      </c>
      <c r="G736" t="s">
        <v>16</v>
      </c>
      <c r="H736">
        <v>2</v>
      </c>
      <c r="I736">
        <v>103</v>
      </c>
      <c r="J736">
        <v>97</v>
      </c>
      <c r="K736">
        <v>84</v>
      </c>
      <c r="L736">
        <v>284</v>
      </c>
      <c r="M736">
        <v>2023</v>
      </c>
    </row>
    <row r="737" spans="1:13" x14ac:dyDescent="0.25">
      <c r="A737" t="s">
        <v>774</v>
      </c>
      <c r="B737" t="s">
        <v>13</v>
      </c>
      <c r="C737" s="1">
        <v>39465</v>
      </c>
      <c r="D737" s="8">
        <f ca="1">ROUND(YEARFRAC(NEET[[#This Row],[Date_of_Birth]],TODAY()),0)</f>
        <v>18</v>
      </c>
      <c r="E737" t="s">
        <v>31</v>
      </c>
      <c r="F737" t="s">
        <v>32</v>
      </c>
      <c r="G737" t="s">
        <v>34</v>
      </c>
      <c r="H737">
        <v>4</v>
      </c>
      <c r="I737">
        <v>178</v>
      </c>
      <c r="J737">
        <v>54</v>
      </c>
      <c r="K737">
        <v>232</v>
      </c>
      <c r="L737">
        <v>464</v>
      </c>
      <c r="M737">
        <v>2024</v>
      </c>
    </row>
    <row r="738" spans="1:13" x14ac:dyDescent="0.25">
      <c r="A738" t="s">
        <v>775</v>
      </c>
      <c r="B738" t="s">
        <v>20</v>
      </c>
      <c r="C738" s="1">
        <v>37948</v>
      </c>
      <c r="D738" s="8">
        <f ca="1">ROUND(YEARFRAC(NEET[[#This Row],[Date_of_Birth]],TODAY()),0)</f>
        <v>22</v>
      </c>
      <c r="E738" t="s">
        <v>69</v>
      </c>
      <c r="F738" t="s">
        <v>70</v>
      </c>
      <c r="G738" t="s">
        <v>22</v>
      </c>
      <c r="H738">
        <v>3</v>
      </c>
      <c r="I738">
        <v>49</v>
      </c>
      <c r="J738">
        <v>107</v>
      </c>
      <c r="K738">
        <v>318</v>
      </c>
      <c r="L738">
        <v>474</v>
      </c>
      <c r="M738">
        <v>2026</v>
      </c>
    </row>
    <row r="739" spans="1:13" x14ac:dyDescent="0.25">
      <c r="A739" t="s">
        <v>776</v>
      </c>
      <c r="B739" t="s">
        <v>13</v>
      </c>
      <c r="C739" s="1">
        <v>38173</v>
      </c>
      <c r="D739" s="8">
        <f ca="1">ROUND(YEARFRAC(NEET[[#This Row],[Date_of_Birth]],TODAY()),0)</f>
        <v>22</v>
      </c>
      <c r="E739" t="s">
        <v>24</v>
      </c>
      <c r="F739" t="s">
        <v>15</v>
      </c>
      <c r="G739" t="s">
        <v>16</v>
      </c>
      <c r="H739">
        <v>2</v>
      </c>
      <c r="I739">
        <v>161</v>
      </c>
      <c r="J739">
        <v>146</v>
      </c>
      <c r="K739">
        <v>340</v>
      </c>
      <c r="L739">
        <v>647</v>
      </c>
      <c r="M739">
        <v>2026</v>
      </c>
    </row>
    <row r="740" spans="1:13" x14ac:dyDescent="0.25">
      <c r="A740" t="s">
        <v>777</v>
      </c>
      <c r="B740" t="s">
        <v>13</v>
      </c>
      <c r="C740" s="1">
        <v>37398</v>
      </c>
      <c r="D740" s="8">
        <f ca="1">ROUND(YEARFRAC(NEET[[#This Row],[Date_of_Birth]],TODAY()),0)</f>
        <v>24</v>
      </c>
      <c r="E740" t="s">
        <v>21</v>
      </c>
      <c r="F740" t="s">
        <v>21</v>
      </c>
      <c r="G740" t="s">
        <v>29</v>
      </c>
      <c r="H740">
        <v>2</v>
      </c>
      <c r="I740">
        <v>149</v>
      </c>
      <c r="J740">
        <v>98</v>
      </c>
      <c r="K740">
        <v>332</v>
      </c>
      <c r="L740">
        <v>579</v>
      </c>
      <c r="M740">
        <v>2026</v>
      </c>
    </row>
    <row r="741" spans="1:13" x14ac:dyDescent="0.25">
      <c r="A741" t="s">
        <v>778</v>
      </c>
      <c r="B741" t="s">
        <v>20</v>
      </c>
      <c r="C741" s="1">
        <v>37131</v>
      </c>
      <c r="D741" s="8">
        <f ca="1">ROUND(YEARFRAC(NEET[[#This Row],[Date_of_Birth]],TODAY()),0)</f>
        <v>25</v>
      </c>
      <c r="E741" t="s">
        <v>62</v>
      </c>
      <c r="F741" t="s">
        <v>15</v>
      </c>
      <c r="G741" t="s">
        <v>22</v>
      </c>
      <c r="H741">
        <v>1</v>
      </c>
      <c r="I741">
        <v>68</v>
      </c>
      <c r="J741">
        <v>106</v>
      </c>
      <c r="K741">
        <v>282</v>
      </c>
      <c r="L741">
        <v>456</v>
      </c>
      <c r="M741">
        <v>2026</v>
      </c>
    </row>
    <row r="742" spans="1:13" x14ac:dyDescent="0.25">
      <c r="A742" t="s">
        <v>779</v>
      </c>
      <c r="B742" t="s">
        <v>20</v>
      </c>
      <c r="C742" s="1">
        <v>37619</v>
      </c>
      <c r="D742" s="8">
        <f ca="1">ROUND(YEARFRAC(NEET[[#This Row],[Date_of_Birth]],TODAY()),0)</f>
        <v>23</v>
      </c>
      <c r="E742" t="s">
        <v>31</v>
      </c>
      <c r="F742" t="s">
        <v>32</v>
      </c>
      <c r="G742" t="s">
        <v>25</v>
      </c>
      <c r="H742">
        <v>2</v>
      </c>
      <c r="I742">
        <v>103</v>
      </c>
      <c r="J742">
        <v>71</v>
      </c>
      <c r="K742">
        <v>191</v>
      </c>
      <c r="L742">
        <v>365</v>
      </c>
      <c r="M742">
        <v>2024</v>
      </c>
    </row>
    <row r="743" spans="1:13" x14ac:dyDescent="0.25">
      <c r="A743" t="s">
        <v>780</v>
      </c>
      <c r="B743" t="s">
        <v>20</v>
      </c>
      <c r="C743" s="1">
        <v>37312</v>
      </c>
      <c r="D743" s="8">
        <f ca="1">ROUND(YEARFRAC(NEET[[#This Row],[Date_of_Birth]],TODAY()),0)</f>
        <v>24</v>
      </c>
      <c r="E743" t="s">
        <v>53</v>
      </c>
      <c r="F743" t="s">
        <v>15</v>
      </c>
      <c r="G743" t="s">
        <v>25</v>
      </c>
      <c r="H743">
        <v>4</v>
      </c>
      <c r="I743">
        <v>92</v>
      </c>
      <c r="J743">
        <v>109</v>
      </c>
      <c r="K743">
        <v>297</v>
      </c>
      <c r="L743">
        <v>498</v>
      </c>
      <c r="M743">
        <v>2024</v>
      </c>
    </row>
    <row r="744" spans="1:13" x14ac:dyDescent="0.25">
      <c r="A744" t="s">
        <v>781</v>
      </c>
      <c r="B744" t="s">
        <v>13</v>
      </c>
      <c r="C744" s="1">
        <v>37178</v>
      </c>
      <c r="D744" s="8">
        <f ca="1">ROUND(YEARFRAC(NEET[[#This Row],[Date_of_Birth]],TODAY()),0)</f>
        <v>25</v>
      </c>
      <c r="E744" t="s">
        <v>24</v>
      </c>
      <c r="F744" t="s">
        <v>15</v>
      </c>
      <c r="G744" t="s">
        <v>34</v>
      </c>
      <c r="H744">
        <v>1</v>
      </c>
      <c r="I744">
        <v>64</v>
      </c>
      <c r="J744">
        <v>37</v>
      </c>
      <c r="K744">
        <v>192</v>
      </c>
      <c r="L744">
        <v>293</v>
      </c>
      <c r="M744">
        <v>2023</v>
      </c>
    </row>
    <row r="745" spans="1:13" x14ac:dyDescent="0.25">
      <c r="A745" t="s">
        <v>782</v>
      </c>
      <c r="B745" t="s">
        <v>20</v>
      </c>
      <c r="C745" s="1">
        <v>36752</v>
      </c>
      <c r="D745" s="8">
        <f ca="1">ROUND(YEARFRAC(NEET[[#This Row],[Date_of_Birth]],TODAY()),0)</f>
        <v>26</v>
      </c>
      <c r="E745" t="s">
        <v>31</v>
      </c>
      <c r="F745" t="s">
        <v>32</v>
      </c>
      <c r="G745" t="s">
        <v>25</v>
      </c>
      <c r="H745">
        <v>3</v>
      </c>
      <c r="I745">
        <v>51</v>
      </c>
      <c r="J745">
        <v>110</v>
      </c>
      <c r="K745">
        <v>212</v>
      </c>
      <c r="L745">
        <v>373</v>
      </c>
      <c r="M745">
        <v>2026</v>
      </c>
    </row>
    <row r="746" spans="1:13" x14ac:dyDescent="0.25">
      <c r="A746" t="s">
        <v>783</v>
      </c>
      <c r="B746" t="s">
        <v>20</v>
      </c>
      <c r="C746" s="1">
        <v>39492</v>
      </c>
      <c r="D746" s="8">
        <f ca="1">ROUND(YEARFRAC(NEET[[#This Row],[Date_of_Birth]],TODAY()),0)</f>
        <v>18</v>
      </c>
      <c r="E746" t="s">
        <v>31</v>
      </c>
      <c r="F746" t="s">
        <v>32</v>
      </c>
      <c r="G746" t="s">
        <v>25</v>
      </c>
      <c r="H746">
        <v>4</v>
      </c>
      <c r="I746">
        <v>65</v>
      </c>
      <c r="J746">
        <v>90</v>
      </c>
      <c r="K746">
        <v>117</v>
      </c>
      <c r="L746">
        <v>272</v>
      </c>
      <c r="M746">
        <v>2024</v>
      </c>
    </row>
    <row r="747" spans="1:13" x14ac:dyDescent="0.25">
      <c r="A747" t="s">
        <v>784</v>
      </c>
      <c r="B747" t="s">
        <v>13</v>
      </c>
      <c r="C747" s="1">
        <v>38982</v>
      </c>
      <c r="D747" s="8">
        <f ca="1">ROUND(YEARFRAC(NEET[[#This Row],[Date_of_Birth]],TODAY()),0)</f>
        <v>20</v>
      </c>
      <c r="E747" t="s">
        <v>14</v>
      </c>
      <c r="F747" t="s">
        <v>15</v>
      </c>
      <c r="G747" t="s">
        <v>22</v>
      </c>
      <c r="H747">
        <v>4</v>
      </c>
      <c r="I747">
        <v>110</v>
      </c>
      <c r="J747">
        <v>114</v>
      </c>
      <c r="K747">
        <v>359</v>
      </c>
      <c r="L747">
        <v>583</v>
      </c>
      <c r="M747">
        <v>2024</v>
      </c>
    </row>
    <row r="748" spans="1:13" x14ac:dyDescent="0.25">
      <c r="A748" t="s">
        <v>785</v>
      </c>
      <c r="B748" t="s">
        <v>20</v>
      </c>
      <c r="C748" s="1">
        <v>36963</v>
      </c>
      <c r="D748" s="8">
        <f ca="1">ROUND(YEARFRAC(NEET[[#This Row],[Date_of_Birth]],TODAY()),0)</f>
        <v>25</v>
      </c>
      <c r="E748" t="s">
        <v>40</v>
      </c>
      <c r="F748" t="s">
        <v>15</v>
      </c>
      <c r="G748" t="s">
        <v>34</v>
      </c>
      <c r="H748">
        <v>1</v>
      </c>
      <c r="I748">
        <v>84</v>
      </c>
      <c r="J748">
        <v>100</v>
      </c>
      <c r="K748">
        <v>285</v>
      </c>
      <c r="L748">
        <v>469</v>
      </c>
      <c r="M748">
        <v>2025</v>
      </c>
    </row>
    <row r="749" spans="1:13" x14ac:dyDescent="0.25">
      <c r="A749" t="s">
        <v>786</v>
      </c>
      <c r="B749" t="s">
        <v>13</v>
      </c>
      <c r="C749" s="1">
        <v>39391</v>
      </c>
      <c r="D749" s="8">
        <f ca="1">ROUND(YEARFRAC(NEET[[#This Row],[Date_of_Birth]],TODAY()),0)</f>
        <v>19</v>
      </c>
      <c r="E749" t="s">
        <v>14</v>
      </c>
      <c r="F749" t="s">
        <v>15</v>
      </c>
      <c r="G749" t="s">
        <v>22</v>
      </c>
      <c r="H749">
        <v>3</v>
      </c>
      <c r="I749">
        <v>111</v>
      </c>
      <c r="J749">
        <v>169</v>
      </c>
      <c r="K749">
        <v>276</v>
      </c>
      <c r="L749">
        <v>556</v>
      </c>
      <c r="M749">
        <v>2025</v>
      </c>
    </row>
    <row r="750" spans="1:13" x14ac:dyDescent="0.25">
      <c r="A750" t="s">
        <v>787</v>
      </c>
      <c r="B750" t="s">
        <v>13</v>
      </c>
      <c r="C750" s="1">
        <v>38472</v>
      </c>
      <c r="D750" s="8">
        <f ca="1">ROUND(YEARFRAC(NEET[[#This Row],[Date_of_Birth]],TODAY()),0)</f>
        <v>21</v>
      </c>
      <c r="E750" t="s">
        <v>36</v>
      </c>
      <c r="F750" t="s">
        <v>37</v>
      </c>
      <c r="G750" t="s">
        <v>29</v>
      </c>
      <c r="H750">
        <v>2</v>
      </c>
      <c r="I750">
        <v>124</v>
      </c>
      <c r="J750">
        <v>108</v>
      </c>
      <c r="K750">
        <v>70</v>
      </c>
      <c r="L750">
        <v>302</v>
      </c>
      <c r="M750">
        <v>2026</v>
      </c>
    </row>
    <row r="751" spans="1:13" x14ac:dyDescent="0.25">
      <c r="A751" t="s">
        <v>788</v>
      </c>
      <c r="B751" t="s">
        <v>20</v>
      </c>
      <c r="C751" s="1">
        <v>37792</v>
      </c>
      <c r="D751" s="8">
        <f ca="1">ROUND(YEARFRAC(NEET[[#This Row],[Date_of_Birth]],TODAY()),0)</f>
        <v>23</v>
      </c>
      <c r="E751" t="s">
        <v>21</v>
      </c>
      <c r="F751" t="s">
        <v>21</v>
      </c>
      <c r="G751" t="s">
        <v>25</v>
      </c>
      <c r="H751">
        <v>4</v>
      </c>
      <c r="I751">
        <v>122</v>
      </c>
      <c r="J751">
        <v>61</v>
      </c>
      <c r="K751">
        <v>333</v>
      </c>
      <c r="L751">
        <v>516</v>
      </c>
      <c r="M751">
        <v>2026</v>
      </c>
    </row>
    <row r="752" spans="1:13" x14ac:dyDescent="0.25">
      <c r="A752" t="s">
        <v>789</v>
      </c>
      <c r="B752" t="s">
        <v>13</v>
      </c>
      <c r="C752" s="1">
        <v>37572</v>
      </c>
      <c r="D752" s="8">
        <f ca="1">ROUND(YEARFRAC(NEET[[#This Row],[Date_of_Birth]],TODAY()),0)</f>
        <v>24</v>
      </c>
      <c r="E752" t="s">
        <v>24</v>
      </c>
      <c r="F752" t="s">
        <v>15</v>
      </c>
      <c r="G752" t="s">
        <v>29</v>
      </c>
      <c r="H752">
        <v>4</v>
      </c>
      <c r="I752">
        <v>53</v>
      </c>
      <c r="J752">
        <v>90</v>
      </c>
      <c r="K752">
        <v>212</v>
      </c>
      <c r="L752">
        <v>355</v>
      </c>
      <c r="M752">
        <v>2026</v>
      </c>
    </row>
    <row r="753" spans="1:13" x14ac:dyDescent="0.25">
      <c r="A753" t="s">
        <v>790</v>
      </c>
      <c r="B753" t="s">
        <v>20</v>
      </c>
      <c r="C753" s="1">
        <v>39759</v>
      </c>
      <c r="D753" s="8">
        <f ca="1">ROUND(YEARFRAC(NEET[[#This Row],[Date_of_Birth]],TODAY()),0)</f>
        <v>18</v>
      </c>
      <c r="E753" t="s">
        <v>53</v>
      </c>
      <c r="F753" t="s">
        <v>15</v>
      </c>
      <c r="G753" t="s">
        <v>34</v>
      </c>
      <c r="H753">
        <v>3</v>
      </c>
      <c r="I753">
        <v>100</v>
      </c>
      <c r="J753">
        <v>50</v>
      </c>
      <c r="K753">
        <v>311</v>
      </c>
      <c r="L753">
        <v>461</v>
      </c>
      <c r="M753">
        <v>2023</v>
      </c>
    </row>
    <row r="754" spans="1:13" x14ac:dyDescent="0.25">
      <c r="A754" t="s">
        <v>791</v>
      </c>
      <c r="B754" t="s">
        <v>20</v>
      </c>
      <c r="C754" s="1">
        <v>37182</v>
      </c>
      <c r="D754" s="8">
        <f ca="1">ROUND(YEARFRAC(NEET[[#This Row],[Date_of_Birth]],TODAY()),0)</f>
        <v>25</v>
      </c>
      <c r="E754" t="s">
        <v>36</v>
      </c>
      <c r="F754" t="s">
        <v>37</v>
      </c>
      <c r="G754" t="s">
        <v>34</v>
      </c>
      <c r="H754">
        <v>3</v>
      </c>
      <c r="I754">
        <v>96</v>
      </c>
      <c r="J754">
        <v>159</v>
      </c>
      <c r="K754">
        <v>93</v>
      </c>
      <c r="L754">
        <v>348</v>
      </c>
      <c r="M754">
        <v>2023</v>
      </c>
    </row>
    <row r="755" spans="1:13" x14ac:dyDescent="0.25">
      <c r="A755" t="s">
        <v>792</v>
      </c>
      <c r="B755" t="s">
        <v>20</v>
      </c>
      <c r="C755" s="1">
        <v>39647</v>
      </c>
      <c r="D755" s="8">
        <f ca="1">ROUND(YEARFRAC(NEET[[#This Row],[Date_of_Birth]],TODAY()),0)</f>
        <v>18</v>
      </c>
      <c r="E755" t="s">
        <v>53</v>
      </c>
      <c r="F755" t="s">
        <v>15</v>
      </c>
      <c r="G755" t="s">
        <v>29</v>
      </c>
      <c r="H755">
        <v>2</v>
      </c>
      <c r="I755">
        <v>77</v>
      </c>
      <c r="J755">
        <v>143</v>
      </c>
      <c r="K755">
        <v>129</v>
      </c>
      <c r="L755">
        <v>349</v>
      </c>
      <c r="M755">
        <v>2025</v>
      </c>
    </row>
    <row r="756" spans="1:13" x14ac:dyDescent="0.25">
      <c r="A756" t="s">
        <v>793</v>
      </c>
      <c r="B756" t="s">
        <v>20</v>
      </c>
      <c r="C756" s="1">
        <v>38884</v>
      </c>
      <c r="D756" s="8">
        <f ca="1">ROUND(YEARFRAC(NEET[[#This Row],[Date_of_Birth]],TODAY()),0)</f>
        <v>20</v>
      </c>
      <c r="E756" t="s">
        <v>14</v>
      </c>
      <c r="F756" t="s">
        <v>15</v>
      </c>
      <c r="G756" t="s">
        <v>34</v>
      </c>
      <c r="H756">
        <v>3</v>
      </c>
      <c r="I756">
        <v>58</v>
      </c>
      <c r="J756">
        <v>70</v>
      </c>
      <c r="K756">
        <v>187</v>
      </c>
      <c r="L756">
        <v>315</v>
      </c>
      <c r="M756">
        <v>2026</v>
      </c>
    </row>
    <row r="757" spans="1:13" x14ac:dyDescent="0.25">
      <c r="A757" t="s">
        <v>794</v>
      </c>
      <c r="B757" t="s">
        <v>13</v>
      </c>
      <c r="C757" s="1">
        <v>39537</v>
      </c>
      <c r="D757" s="8">
        <f ca="1">ROUND(YEARFRAC(NEET[[#This Row],[Date_of_Birth]],TODAY()),0)</f>
        <v>18</v>
      </c>
      <c r="E757" t="s">
        <v>40</v>
      </c>
      <c r="F757" t="s">
        <v>15</v>
      </c>
      <c r="G757" t="s">
        <v>34</v>
      </c>
      <c r="H757">
        <v>1</v>
      </c>
      <c r="I757">
        <v>96</v>
      </c>
      <c r="J757">
        <v>74</v>
      </c>
      <c r="K757">
        <v>227</v>
      </c>
      <c r="L757">
        <v>397</v>
      </c>
      <c r="M757">
        <v>2025</v>
      </c>
    </row>
    <row r="758" spans="1:13" x14ac:dyDescent="0.25">
      <c r="A758" t="s">
        <v>795</v>
      </c>
      <c r="B758" t="s">
        <v>13</v>
      </c>
      <c r="C758" s="1">
        <v>37271</v>
      </c>
      <c r="D758" s="8">
        <f ca="1">ROUND(YEARFRAC(NEET[[#This Row],[Date_of_Birth]],TODAY()),0)</f>
        <v>24</v>
      </c>
      <c r="E758" t="s">
        <v>18</v>
      </c>
      <c r="F758" t="s">
        <v>15</v>
      </c>
      <c r="G758" t="s">
        <v>25</v>
      </c>
      <c r="H758">
        <v>2</v>
      </c>
      <c r="I758">
        <v>126</v>
      </c>
      <c r="J758">
        <v>176</v>
      </c>
      <c r="K758">
        <v>174</v>
      </c>
      <c r="L758">
        <v>476</v>
      </c>
      <c r="M758">
        <v>2026</v>
      </c>
    </row>
    <row r="759" spans="1:13" x14ac:dyDescent="0.25">
      <c r="A759" t="s">
        <v>796</v>
      </c>
      <c r="B759" t="s">
        <v>20</v>
      </c>
      <c r="C759" s="1">
        <v>37338</v>
      </c>
      <c r="D759" s="8">
        <f ca="1">ROUND(YEARFRAC(NEET[[#This Row],[Date_of_Birth]],TODAY()),0)</f>
        <v>24</v>
      </c>
      <c r="E759" t="s">
        <v>24</v>
      </c>
      <c r="F759" t="s">
        <v>15</v>
      </c>
      <c r="G759" t="s">
        <v>25</v>
      </c>
      <c r="H759">
        <v>2</v>
      </c>
      <c r="I759">
        <v>73</v>
      </c>
      <c r="J759">
        <v>42</v>
      </c>
      <c r="K759">
        <v>265</v>
      </c>
      <c r="L759">
        <v>380</v>
      </c>
      <c r="M759">
        <v>2025</v>
      </c>
    </row>
    <row r="760" spans="1:13" x14ac:dyDescent="0.25">
      <c r="A760" t="s">
        <v>797</v>
      </c>
      <c r="B760" t="s">
        <v>20</v>
      </c>
      <c r="C760" s="1">
        <v>37222</v>
      </c>
      <c r="D760" s="8">
        <f ca="1">ROUND(YEARFRAC(NEET[[#This Row],[Date_of_Birth]],TODAY()),0)</f>
        <v>24</v>
      </c>
      <c r="E760" t="s">
        <v>27</v>
      </c>
      <c r="F760" t="s">
        <v>15</v>
      </c>
      <c r="G760" t="s">
        <v>25</v>
      </c>
      <c r="H760">
        <v>4</v>
      </c>
      <c r="I760">
        <v>60</v>
      </c>
      <c r="J760">
        <v>33</v>
      </c>
      <c r="K760">
        <v>329</v>
      </c>
      <c r="L760">
        <v>422</v>
      </c>
      <c r="M760">
        <v>2024</v>
      </c>
    </row>
    <row r="761" spans="1:13" x14ac:dyDescent="0.25">
      <c r="A761" t="s">
        <v>798</v>
      </c>
      <c r="B761" t="s">
        <v>20</v>
      </c>
      <c r="C761" s="1">
        <v>39448</v>
      </c>
      <c r="D761" s="8">
        <f ca="1">ROUND(YEARFRAC(NEET[[#This Row],[Date_of_Birth]],TODAY()),0)</f>
        <v>18</v>
      </c>
      <c r="E761" t="s">
        <v>62</v>
      </c>
      <c r="F761" t="s">
        <v>15</v>
      </c>
      <c r="G761" t="s">
        <v>34</v>
      </c>
      <c r="H761">
        <v>2</v>
      </c>
      <c r="I761">
        <v>78</v>
      </c>
      <c r="J761">
        <v>98</v>
      </c>
      <c r="K761">
        <v>207</v>
      </c>
      <c r="L761">
        <v>383</v>
      </c>
      <c r="M761">
        <v>2024</v>
      </c>
    </row>
    <row r="762" spans="1:13" x14ac:dyDescent="0.25">
      <c r="A762" t="s">
        <v>799</v>
      </c>
      <c r="B762" t="s">
        <v>20</v>
      </c>
      <c r="C762" s="1">
        <v>38983</v>
      </c>
      <c r="D762" s="8">
        <f ca="1">ROUND(YEARFRAC(NEET[[#This Row],[Date_of_Birth]],TODAY()),0)</f>
        <v>20</v>
      </c>
      <c r="E762" t="s">
        <v>62</v>
      </c>
      <c r="F762" t="s">
        <v>15</v>
      </c>
      <c r="G762" t="s">
        <v>25</v>
      </c>
      <c r="H762">
        <v>2</v>
      </c>
      <c r="I762">
        <v>102</v>
      </c>
      <c r="J762">
        <v>78</v>
      </c>
      <c r="K762">
        <v>274</v>
      </c>
      <c r="L762">
        <v>454</v>
      </c>
      <c r="M762">
        <v>2025</v>
      </c>
    </row>
    <row r="763" spans="1:13" x14ac:dyDescent="0.25">
      <c r="A763" t="s">
        <v>800</v>
      </c>
      <c r="B763" t="s">
        <v>13</v>
      </c>
      <c r="C763" s="1">
        <v>37598</v>
      </c>
      <c r="D763" s="8">
        <f ca="1">ROUND(YEARFRAC(NEET[[#This Row],[Date_of_Birth]],TODAY()),0)</f>
        <v>23</v>
      </c>
      <c r="E763" t="s">
        <v>62</v>
      </c>
      <c r="F763" t="s">
        <v>15</v>
      </c>
      <c r="G763" t="s">
        <v>34</v>
      </c>
      <c r="H763">
        <v>1</v>
      </c>
      <c r="I763">
        <v>145</v>
      </c>
      <c r="J763">
        <v>93</v>
      </c>
      <c r="K763">
        <v>249</v>
      </c>
      <c r="L763">
        <v>487</v>
      </c>
      <c r="M763">
        <v>2024</v>
      </c>
    </row>
    <row r="764" spans="1:13" x14ac:dyDescent="0.25">
      <c r="A764" t="s">
        <v>801</v>
      </c>
      <c r="B764" t="s">
        <v>20</v>
      </c>
      <c r="C764" s="1">
        <v>37850</v>
      </c>
      <c r="D764" s="8">
        <f ca="1">ROUND(YEARFRAC(NEET[[#This Row],[Date_of_Birth]],TODAY()),0)</f>
        <v>23</v>
      </c>
      <c r="E764" t="s">
        <v>36</v>
      </c>
      <c r="F764" t="s">
        <v>37</v>
      </c>
      <c r="G764" t="s">
        <v>25</v>
      </c>
      <c r="H764">
        <v>1</v>
      </c>
      <c r="I764">
        <v>131</v>
      </c>
      <c r="J764">
        <v>84</v>
      </c>
      <c r="K764">
        <v>256</v>
      </c>
      <c r="L764">
        <v>471</v>
      </c>
      <c r="M764">
        <v>2023</v>
      </c>
    </row>
    <row r="765" spans="1:13" x14ac:dyDescent="0.25">
      <c r="A765" t="s">
        <v>802</v>
      </c>
      <c r="B765" t="s">
        <v>13</v>
      </c>
      <c r="C765" s="1">
        <v>36739</v>
      </c>
      <c r="D765" s="8">
        <f ca="1">ROUND(YEARFRAC(NEET[[#This Row],[Date_of_Birth]],TODAY()),0)</f>
        <v>26</v>
      </c>
      <c r="E765" t="s">
        <v>46</v>
      </c>
      <c r="F765" t="s">
        <v>15</v>
      </c>
      <c r="G765" t="s">
        <v>16</v>
      </c>
      <c r="H765">
        <v>3</v>
      </c>
      <c r="I765">
        <v>90</v>
      </c>
      <c r="J765">
        <v>150</v>
      </c>
      <c r="K765">
        <v>241</v>
      </c>
      <c r="L765">
        <v>481</v>
      </c>
      <c r="M765">
        <v>2026</v>
      </c>
    </row>
    <row r="766" spans="1:13" x14ac:dyDescent="0.25">
      <c r="A766" t="s">
        <v>803</v>
      </c>
      <c r="B766" t="s">
        <v>13</v>
      </c>
      <c r="C766" s="1">
        <v>37765</v>
      </c>
      <c r="D766" s="8">
        <f ca="1">ROUND(YEARFRAC(NEET[[#This Row],[Date_of_Birth]],TODAY()),0)</f>
        <v>23</v>
      </c>
      <c r="E766" t="s">
        <v>18</v>
      </c>
      <c r="F766" t="s">
        <v>15</v>
      </c>
      <c r="G766" t="s">
        <v>22</v>
      </c>
      <c r="H766">
        <v>3</v>
      </c>
      <c r="I766">
        <v>124</v>
      </c>
      <c r="J766">
        <v>63</v>
      </c>
      <c r="K766">
        <v>346</v>
      </c>
      <c r="L766">
        <v>533</v>
      </c>
      <c r="M766">
        <v>2026</v>
      </c>
    </row>
    <row r="767" spans="1:13" x14ac:dyDescent="0.25">
      <c r="A767" t="s">
        <v>804</v>
      </c>
      <c r="B767" t="s">
        <v>20</v>
      </c>
      <c r="C767" s="1">
        <v>37915</v>
      </c>
      <c r="D767" s="8">
        <f ca="1">ROUND(YEARFRAC(NEET[[#This Row],[Date_of_Birth]],TODAY()),0)</f>
        <v>23</v>
      </c>
      <c r="E767" t="s">
        <v>48</v>
      </c>
      <c r="F767" t="s">
        <v>49</v>
      </c>
      <c r="G767" t="s">
        <v>29</v>
      </c>
      <c r="H767">
        <v>2</v>
      </c>
      <c r="I767">
        <v>149</v>
      </c>
      <c r="J767">
        <v>63</v>
      </c>
      <c r="K767">
        <v>105</v>
      </c>
      <c r="L767">
        <v>317</v>
      </c>
      <c r="M767">
        <v>2023</v>
      </c>
    </row>
    <row r="768" spans="1:13" x14ac:dyDescent="0.25">
      <c r="A768" t="s">
        <v>805</v>
      </c>
      <c r="B768" t="s">
        <v>20</v>
      </c>
      <c r="C768" s="1">
        <v>37809</v>
      </c>
      <c r="D768" s="8">
        <f ca="1">ROUND(YEARFRAC(NEET[[#This Row],[Date_of_Birth]],TODAY()),0)</f>
        <v>23</v>
      </c>
      <c r="E768" t="s">
        <v>53</v>
      </c>
      <c r="F768" t="s">
        <v>15</v>
      </c>
      <c r="G768" t="s">
        <v>29</v>
      </c>
      <c r="H768">
        <v>3</v>
      </c>
      <c r="I768">
        <v>62</v>
      </c>
      <c r="J768">
        <v>157</v>
      </c>
      <c r="K768">
        <v>203</v>
      </c>
      <c r="L768">
        <v>422</v>
      </c>
      <c r="M768">
        <v>2025</v>
      </c>
    </row>
    <row r="769" spans="1:13" x14ac:dyDescent="0.25">
      <c r="A769" t="s">
        <v>806</v>
      </c>
      <c r="B769" t="s">
        <v>13</v>
      </c>
      <c r="C769" s="1">
        <v>38643</v>
      </c>
      <c r="D769" s="8">
        <f ca="1">ROUND(YEARFRAC(NEET[[#This Row],[Date_of_Birth]],TODAY()),0)</f>
        <v>21</v>
      </c>
      <c r="E769" t="s">
        <v>46</v>
      </c>
      <c r="F769" t="s">
        <v>15</v>
      </c>
      <c r="G769" t="s">
        <v>25</v>
      </c>
      <c r="H769">
        <v>4</v>
      </c>
      <c r="I769">
        <v>141</v>
      </c>
      <c r="J769">
        <v>72</v>
      </c>
      <c r="K769">
        <v>221</v>
      </c>
      <c r="L769">
        <v>434</v>
      </c>
      <c r="M769">
        <v>2024</v>
      </c>
    </row>
    <row r="770" spans="1:13" x14ac:dyDescent="0.25">
      <c r="A770" t="s">
        <v>807</v>
      </c>
      <c r="B770" t="s">
        <v>20</v>
      </c>
      <c r="C770" s="1">
        <v>37134</v>
      </c>
      <c r="D770" s="8">
        <f ca="1">ROUND(YEARFRAC(NEET[[#This Row],[Date_of_Birth]],TODAY()),0)</f>
        <v>25</v>
      </c>
      <c r="E770" t="s">
        <v>53</v>
      </c>
      <c r="F770" t="s">
        <v>15</v>
      </c>
      <c r="G770" t="s">
        <v>34</v>
      </c>
      <c r="H770">
        <v>2</v>
      </c>
      <c r="I770">
        <v>88</v>
      </c>
      <c r="J770">
        <v>76</v>
      </c>
      <c r="K770">
        <v>78</v>
      </c>
      <c r="L770">
        <v>242</v>
      </c>
      <c r="M770">
        <v>2026</v>
      </c>
    </row>
    <row r="771" spans="1:13" x14ac:dyDescent="0.25">
      <c r="A771" t="s">
        <v>808</v>
      </c>
      <c r="B771" t="s">
        <v>20</v>
      </c>
      <c r="C771" s="1">
        <v>37001</v>
      </c>
      <c r="D771" s="8">
        <f ca="1">ROUND(YEARFRAC(NEET[[#This Row],[Date_of_Birth]],TODAY()),0)</f>
        <v>25</v>
      </c>
      <c r="E771" t="s">
        <v>48</v>
      </c>
      <c r="F771" t="s">
        <v>49</v>
      </c>
      <c r="G771" t="s">
        <v>34</v>
      </c>
      <c r="H771">
        <v>4</v>
      </c>
      <c r="I771">
        <v>156</v>
      </c>
      <c r="J771">
        <v>40</v>
      </c>
      <c r="K771">
        <v>286</v>
      </c>
      <c r="L771">
        <v>482</v>
      </c>
      <c r="M771">
        <v>2023</v>
      </c>
    </row>
    <row r="772" spans="1:13" x14ac:dyDescent="0.25">
      <c r="A772" t="s">
        <v>809</v>
      </c>
      <c r="B772" t="s">
        <v>13</v>
      </c>
      <c r="C772" s="1">
        <v>39474</v>
      </c>
      <c r="D772" s="8">
        <f ca="1">ROUND(YEARFRAC(NEET[[#This Row],[Date_of_Birth]],TODAY()),0)</f>
        <v>18</v>
      </c>
      <c r="E772" t="s">
        <v>31</v>
      </c>
      <c r="F772" t="s">
        <v>32</v>
      </c>
      <c r="G772" t="s">
        <v>22</v>
      </c>
      <c r="H772">
        <v>3</v>
      </c>
      <c r="I772">
        <v>67</v>
      </c>
      <c r="J772">
        <v>61</v>
      </c>
      <c r="K772">
        <v>238</v>
      </c>
      <c r="L772">
        <v>366</v>
      </c>
      <c r="M772">
        <v>2024</v>
      </c>
    </row>
    <row r="773" spans="1:13" x14ac:dyDescent="0.25">
      <c r="A773" t="s">
        <v>810</v>
      </c>
      <c r="B773" t="s">
        <v>13</v>
      </c>
      <c r="C773" s="1">
        <v>39597</v>
      </c>
      <c r="D773" s="8">
        <f ca="1">ROUND(YEARFRAC(NEET[[#This Row],[Date_of_Birth]],TODAY()),0)</f>
        <v>18</v>
      </c>
      <c r="E773" t="s">
        <v>42</v>
      </c>
      <c r="F773" t="s">
        <v>15</v>
      </c>
      <c r="G773" t="s">
        <v>34</v>
      </c>
      <c r="H773">
        <v>2</v>
      </c>
      <c r="I773">
        <v>99</v>
      </c>
      <c r="J773">
        <v>174</v>
      </c>
      <c r="K773">
        <v>359</v>
      </c>
      <c r="L773">
        <v>632</v>
      </c>
      <c r="M773">
        <v>2023</v>
      </c>
    </row>
    <row r="774" spans="1:13" x14ac:dyDescent="0.25">
      <c r="A774" t="s">
        <v>811</v>
      </c>
      <c r="B774" t="s">
        <v>20</v>
      </c>
      <c r="C774" s="1">
        <v>37534</v>
      </c>
      <c r="D774" s="8">
        <f ca="1">ROUND(YEARFRAC(NEET[[#This Row],[Date_of_Birth]],TODAY()),0)</f>
        <v>24</v>
      </c>
      <c r="E774" t="s">
        <v>69</v>
      </c>
      <c r="F774" t="s">
        <v>70</v>
      </c>
      <c r="G774" t="s">
        <v>34</v>
      </c>
      <c r="H774">
        <v>1</v>
      </c>
      <c r="I774">
        <v>157</v>
      </c>
      <c r="J774">
        <v>54</v>
      </c>
      <c r="K774">
        <v>228</v>
      </c>
      <c r="L774">
        <v>439</v>
      </c>
      <c r="M774">
        <v>2025</v>
      </c>
    </row>
    <row r="775" spans="1:13" x14ac:dyDescent="0.25">
      <c r="A775" t="s">
        <v>812</v>
      </c>
      <c r="B775" t="s">
        <v>13</v>
      </c>
      <c r="C775" s="1">
        <v>38944</v>
      </c>
      <c r="D775" s="8">
        <f ca="1">ROUND(YEARFRAC(NEET[[#This Row],[Date_of_Birth]],TODAY()),0)</f>
        <v>20</v>
      </c>
      <c r="E775" t="s">
        <v>48</v>
      </c>
      <c r="F775" t="s">
        <v>49</v>
      </c>
      <c r="G775" t="s">
        <v>34</v>
      </c>
      <c r="H775">
        <v>4</v>
      </c>
      <c r="I775">
        <v>57</v>
      </c>
      <c r="J775">
        <v>112</v>
      </c>
      <c r="K775">
        <v>138</v>
      </c>
      <c r="L775">
        <v>307</v>
      </c>
      <c r="M775">
        <v>2026</v>
      </c>
    </row>
    <row r="776" spans="1:13" x14ac:dyDescent="0.25">
      <c r="A776" t="s">
        <v>813</v>
      </c>
      <c r="B776" t="s">
        <v>20</v>
      </c>
      <c r="C776" s="1">
        <v>39099</v>
      </c>
      <c r="D776" s="8">
        <f ca="1">ROUND(YEARFRAC(NEET[[#This Row],[Date_of_Birth]],TODAY()),0)</f>
        <v>19</v>
      </c>
      <c r="E776" t="s">
        <v>24</v>
      </c>
      <c r="F776" t="s">
        <v>15</v>
      </c>
      <c r="G776" t="s">
        <v>22</v>
      </c>
      <c r="H776">
        <v>2</v>
      </c>
      <c r="I776">
        <v>31</v>
      </c>
      <c r="J776">
        <v>114</v>
      </c>
      <c r="K776">
        <v>82</v>
      </c>
      <c r="L776">
        <v>227</v>
      </c>
      <c r="M776">
        <v>2023</v>
      </c>
    </row>
    <row r="777" spans="1:13" x14ac:dyDescent="0.25">
      <c r="A777" t="s">
        <v>814</v>
      </c>
      <c r="B777" t="s">
        <v>20</v>
      </c>
      <c r="C777" s="1">
        <v>39809</v>
      </c>
      <c r="D777" s="8">
        <f ca="1">ROUND(YEARFRAC(NEET[[#This Row],[Date_of_Birth]],TODAY()),0)</f>
        <v>17</v>
      </c>
      <c r="E777" t="s">
        <v>21</v>
      </c>
      <c r="F777" t="s">
        <v>21</v>
      </c>
      <c r="G777" t="s">
        <v>34</v>
      </c>
      <c r="H777">
        <v>1</v>
      </c>
      <c r="I777">
        <v>102</v>
      </c>
      <c r="J777">
        <v>112</v>
      </c>
      <c r="K777">
        <v>88</v>
      </c>
      <c r="L777">
        <v>302</v>
      </c>
      <c r="M777">
        <v>2025</v>
      </c>
    </row>
    <row r="778" spans="1:13" x14ac:dyDescent="0.25">
      <c r="A778" t="s">
        <v>815</v>
      </c>
      <c r="B778" t="s">
        <v>13</v>
      </c>
      <c r="C778" s="1">
        <v>37255</v>
      </c>
      <c r="D778" s="8">
        <f ca="1">ROUND(YEARFRAC(NEET[[#This Row],[Date_of_Birth]],TODAY()),0)</f>
        <v>24</v>
      </c>
      <c r="E778" t="s">
        <v>62</v>
      </c>
      <c r="F778" t="s">
        <v>15</v>
      </c>
      <c r="G778" t="s">
        <v>34</v>
      </c>
      <c r="H778">
        <v>4</v>
      </c>
      <c r="I778">
        <v>132</v>
      </c>
      <c r="J778">
        <v>52</v>
      </c>
      <c r="K778">
        <v>70</v>
      </c>
      <c r="L778">
        <v>254</v>
      </c>
      <c r="M778">
        <v>2025</v>
      </c>
    </row>
    <row r="779" spans="1:13" x14ac:dyDescent="0.25">
      <c r="A779" t="s">
        <v>816</v>
      </c>
      <c r="B779" t="s">
        <v>20</v>
      </c>
      <c r="C779" s="1">
        <v>39176</v>
      </c>
      <c r="D779" s="8">
        <f ca="1">ROUND(YEARFRAC(NEET[[#This Row],[Date_of_Birth]],TODAY()),0)</f>
        <v>19</v>
      </c>
      <c r="E779" t="s">
        <v>69</v>
      </c>
      <c r="F779" t="s">
        <v>70</v>
      </c>
      <c r="G779" t="s">
        <v>16</v>
      </c>
      <c r="H779">
        <v>3</v>
      </c>
      <c r="I779">
        <v>69</v>
      </c>
      <c r="J779">
        <v>60</v>
      </c>
      <c r="K779">
        <v>212</v>
      </c>
      <c r="L779">
        <v>341</v>
      </c>
      <c r="M779">
        <v>2024</v>
      </c>
    </row>
    <row r="780" spans="1:13" x14ac:dyDescent="0.25">
      <c r="A780" t="s">
        <v>817</v>
      </c>
      <c r="B780" t="s">
        <v>20</v>
      </c>
      <c r="C780" s="1">
        <v>37996</v>
      </c>
      <c r="D780" s="8">
        <f ca="1">ROUND(YEARFRAC(NEET[[#This Row],[Date_of_Birth]],TODAY()),0)</f>
        <v>22</v>
      </c>
      <c r="E780" t="s">
        <v>21</v>
      </c>
      <c r="F780" t="s">
        <v>21</v>
      </c>
      <c r="G780" t="s">
        <v>34</v>
      </c>
      <c r="H780">
        <v>4</v>
      </c>
      <c r="I780">
        <v>54</v>
      </c>
      <c r="J780">
        <v>124</v>
      </c>
      <c r="K780">
        <v>322</v>
      </c>
      <c r="L780">
        <v>500</v>
      </c>
      <c r="M780">
        <v>2026</v>
      </c>
    </row>
    <row r="781" spans="1:13" x14ac:dyDescent="0.25">
      <c r="A781" t="s">
        <v>818</v>
      </c>
      <c r="B781" t="s">
        <v>13</v>
      </c>
      <c r="C781" s="1">
        <v>37625</v>
      </c>
      <c r="D781" s="8">
        <f ca="1">ROUND(YEARFRAC(NEET[[#This Row],[Date_of_Birth]],TODAY()),0)</f>
        <v>23</v>
      </c>
      <c r="E781" t="s">
        <v>27</v>
      </c>
      <c r="F781" t="s">
        <v>15</v>
      </c>
      <c r="G781" t="s">
        <v>34</v>
      </c>
      <c r="H781">
        <v>4</v>
      </c>
      <c r="I781">
        <v>138</v>
      </c>
      <c r="J781">
        <v>53</v>
      </c>
      <c r="K781">
        <v>276</v>
      </c>
      <c r="L781">
        <v>467</v>
      </c>
      <c r="M781">
        <v>2023</v>
      </c>
    </row>
    <row r="782" spans="1:13" x14ac:dyDescent="0.25">
      <c r="A782" t="s">
        <v>819</v>
      </c>
      <c r="B782" t="s">
        <v>20</v>
      </c>
      <c r="C782" s="1">
        <v>36691</v>
      </c>
      <c r="D782" s="8">
        <f ca="1">ROUND(YEARFRAC(NEET[[#This Row],[Date_of_Birth]],TODAY()),0)</f>
        <v>26</v>
      </c>
      <c r="E782" t="s">
        <v>42</v>
      </c>
      <c r="F782" t="s">
        <v>15</v>
      </c>
      <c r="G782" t="s">
        <v>29</v>
      </c>
      <c r="H782">
        <v>1</v>
      </c>
      <c r="I782">
        <v>117</v>
      </c>
      <c r="J782">
        <v>148</v>
      </c>
      <c r="K782">
        <v>174</v>
      </c>
      <c r="L782">
        <v>439</v>
      </c>
      <c r="M782">
        <v>2026</v>
      </c>
    </row>
    <row r="783" spans="1:13" x14ac:dyDescent="0.25">
      <c r="A783" t="s">
        <v>820</v>
      </c>
      <c r="B783" t="s">
        <v>20</v>
      </c>
      <c r="C783" s="1">
        <v>38317</v>
      </c>
      <c r="D783" s="8">
        <f ca="1">ROUND(YEARFRAC(NEET[[#This Row],[Date_of_Birth]],TODAY()),0)</f>
        <v>21</v>
      </c>
      <c r="E783" t="s">
        <v>14</v>
      </c>
      <c r="F783" t="s">
        <v>15</v>
      </c>
      <c r="G783" t="s">
        <v>16</v>
      </c>
      <c r="H783">
        <v>2</v>
      </c>
      <c r="I783">
        <v>152</v>
      </c>
      <c r="J783">
        <v>106</v>
      </c>
      <c r="K783">
        <v>136</v>
      </c>
      <c r="L783">
        <v>394</v>
      </c>
      <c r="M783">
        <v>2026</v>
      </c>
    </row>
    <row r="784" spans="1:13" x14ac:dyDescent="0.25">
      <c r="A784" t="s">
        <v>821</v>
      </c>
      <c r="B784" t="s">
        <v>13</v>
      </c>
      <c r="C784" s="1">
        <v>37736</v>
      </c>
      <c r="D784" s="8">
        <f ca="1">ROUND(YEARFRAC(NEET[[#This Row],[Date_of_Birth]],TODAY()),0)</f>
        <v>23</v>
      </c>
      <c r="E784" t="s">
        <v>27</v>
      </c>
      <c r="F784" t="s">
        <v>15</v>
      </c>
      <c r="G784" t="s">
        <v>34</v>
      </c>
      <c r="H784">
        <v>4</v>
      </c>
      <c r="I784">
        <v>42</v>
      </c>
      <c r="J784">
        <v>171</v>
      </c>
      <c r="K784">
        <v>99</v>
      </c>
      <c r="L784">
        <v>312</v>
      </c>
      <c r="M784">
        <v>2023</v>
      </c>
    </row>
    <row r="785" spans="1:13" x14ac:dyDescent="0.25">
      <c r="A785" t="s">
        <v>822</v>
      </c>
      <c r="B785" t="s">
        <v>13</v>
      </c>
      <c r="C785" s="1">
        <v>38429</v>
      </c>
      <c r="D785" s="8">
        <f ca="1">ROUND(YEARFRAC(NEET[[#This Row],[Date_of_Birth]],TODAY()),0)</f>
        <v>21</v>
      </c>
      <c r="E785" t="s">
        <v>21</v>
      </c>
      <c r="F785" t="s">
        <v>21</v>
      </c>
      <c r="G785" t="s">
        <v>25</v>
      </c>
      <c r="H785">
        <v>1</v>
      </c>
      <c r="I785">
        <v>175</v>
      </c>
      <c r="J785">
        <v>94</v>
      </c>
      <c r="K785">
        <v>241</v>
      </c>
      <c r="L785">
        <v>510</v>
      </c>
      <c r="M785">
        <v>2026</v>
      </c>
    </row>
    <row r="786" spans="1:13" x14ac:dyDescent="0.25">
      <c r="A786" t="s">
        <v>823</v>
      </c>
      <c r="B786" t="s">
        <v>20</v>
      </c>
      <c r="C786" s="1">
        <v>37261</v>
      </c>
      <c r="D786" s="8">
        <f ca="1">ROUND(YEARFRAC(NEET[[#This Row],[Date_of_Birth]],TODAY()),0)</f>
        <v>24</v>
      </c>
      <c r="E786" t="s">
        <v>69</v>
      </c>
      <c r="F786" t="s">
        <v>70</v>
      </c>
      <c r="G786" t="s">
        <v>29</v>
      </c>
      <c r="H786">
        <v>3</v>
      </c>
      <c r="I786">
        <v>76</v>
      </c>
      <c r="J786">
        <v>130</v>
      </c>
      <c r="K786">
        <v>83</v>
      </c>
      <c r="L786">
        <v>289</v>
      </c>
      <c r="M786">
        <v>2026</v>
      </c>
    </row>
    <row r="787" spans="1:13" x14ac:dyDescent="0.25">
      <c r="A787" t="s">
        <v>824</v>
      </c>
      <c r="B787" t="s">
        <v>13</v>
      </c>
      <c r="C787" s="1">
        <v>39628</v>
      </c>
      <c r="D787" s="8">
        <f ca="1">ROUND(YEARFRAC(NEET[[#This Row],[Date_of_Birth]],TODAY()),0)</f>
        <v>18</v>
      </c>
      <c r="E787" t="s">
        <v>21</v>
      </c>
      <c r="F787" t="s">
        <v>21</v>
      </c>
      <c r="G787" t="s">
        <v>25</v>
      </c>
      <c r="H787">
        <v>2</v>
      </c>
      <c r="I787">
        <v>145</v>
      </c>
      <c r="J787">
        <v>97</v>
      </c>
      <c r="K787">
        <v>234</v>
      </c>
      <c r="L787">
        <v>476</v>
      </c>
      <c r="M787">
        <v>2025</v>
      </c>
    </row>
    <row r="788" spans="1:13" x14ac:dyDescent="0.25">
      <c r="A788" t="s">
        <v>825</v>
      </c>
      <c r="B788" t="s">
        <v>20</v>
      </c>
      <c r="C788" s="1">
        <v>39284</v>
      </c>
      <c r="D788" s="8">
        <f ca="1">ROUND(YEARFRAC(NEET[[#This Row],[Date_of_Birth]],TODAY()),0)</f>
        <v>19</v>
      </c>
      <c r="E788" t="s">
        <v>14</v>
      </c>
      <c r="F788" t="s">
        <v>15</v>
      </c>
      <c r="G788" t="s">
        <v>25</v>
      </c>
      <c r="H788">
        <v>1</v>
      </c>
      <c r="I788">
        <v>141</v>
      </c>
      <c r="J788">
        <v>166</v>
      </c>
      <c r="K788">
        <v>69</v>
      </c>
      <c r="L788">
        <v>376</v>
      </c>
      <c r="M788">
        <v>2024</v>
      </c>
    </row>
    <row r="789" spans="1:13" x14ac:dyDescent="0.25">
      <c r="A789" t="s">
        <v>826</v>
      </c>
      <c r="B789" t="s">
        <v>20</v>
      </c>
      <c r="C789" s="1">
        <v>39212</v>
      </c>
      <c r="D789" s="8">
        <f ca="1">ROUND(YEARFRAC(NEET[[#This Row],[Date_of_Birth]],TODAY()),0)</f>
        <v>19</v>
      </c>
      <c r="E789" t="s">
        <v>73</v>
      </c>
      <c r="F789" t="s">
        <v>15</v>
      </c>
      <c r="G789" t="s">
        <v>29</v>
      </c>
      <c r="H789">
        <v>4</v>
      </c>
      <c r="I789">
        <v>147</v>
      </c>
      <c r="J789">
        <v>133</v>
      </c>
      <c r="K789">
        <v>309</v>
      </c>
      <c r="L789">
        <v>589</v>
      </c>
      <c r="M789">
        <v>2023</v>
      </c>
    </row>
    <row r="790" spans="1:13" x14ac:dyDescent="0.25">
      <c r="A790" t="s">
        <v>827</v>
      </c>
      <c r="B790" t="s">
        <v>13</v>
      </c>
      <c r="C790" s="1">
        <v>37038</v>
      </c>
      <c r="D790" s="8">
        <f ca="1">ROUND(YEARFRAC(NEET[[#This Row],[Date_of_Birth]],TODAY()),0)</f>
        <v>25</v>
      </c>
      <c r="E790" t="s">
        <v>40</v>
      </c>
      <c r="F790" t="s">
        <v>15</v>
      </c>
      <c r="G790" t="s">
        <v>22</v>
      </c>
      <c r="H790">
        <v>1</v>
      </c>
      <c r="I790">
        <v>33</v>
      </c>
      <c r="J790">
        <v>78</v>
      </c>
      <c r="K790">
        <v>117</v>
      </c>
      <c r="L790">
        <v>228</v>
      </c>
      <c r="M790">
        <v>2026</v>
      </c>
    </row>
    <row r="791" spans="1:13" x14ac:dyDescent="0.25">
      <c r="A791" t="s">
        <v>828</v>
      </c>
      <c r="B791" t="s">
        <v>13</v>
      </c>
      <c r="C791" s="1">
        <v>39182</v>
      </c>
      <c r="D791" s="8">
        <f ca="1">ROUND(YEARFRAC(NEET[[#This Row],[Date_of_Birth]],TODAY()),0)</f>
        <v>19</v>
      </c>
      <c r="E791" t="s">
        <v>40</v>
      </c>
      <c r="F791" t="s">
        <v>15</v>
      </c>
      <c r="G791" t="s">
        <v>34</v>
      </c>
      <c r="H791">
        <v>3</v>
      </c>
      <c r="I791">
        <v>91</v>
      </c>
      <c r="J791">
        <v>141</v>
      </c>
      <c r="K791">
        <v>335</v>
      </c>
      <c r="L791">
        <v>567</v>
      </c>
      <c r="M791">
        <v>2024</v>
      </c>
    </row>
    <row r="792" spans="1:13" x14ac:dyDescent="0.25">
      <c r="A792" t="s">
        <v>829</v>
      </c>
      <c r="B792" t="s">
        <v>20</v>
      </c>
      <c r="C792" s="1">
        <v>38467</v>
      </c>
      <c r="D792" s="8">
        <f ca="1">ROUND(YEARFRAC(NEET[[#This Row],[Date_of_Birth]],TODAY()),0)</f>
        <v>21</v>
      </c>
      <c r="E792" t="s">
        <v>18</v>
      </c>
      <c r="F792" t="s">
        <v>15</v>
      </c>
      <c r="G792" t="s">
        <v>34</v>
      </c>
      <c r="H792">
        <v>4</v>
      </c>
      <c r="I792">
        <v>35</v>
      </c>
      <c r="J792">
        <v>59</v>
      </c>
      <c r="K792">
        <v>145</v>
      </c>
      <c r="L792">
        <v>239</v>
      </c>
      <c r="M792">
        <v>2023</v>
      </c>
    </row>
    <row r="793" spans="1:13" x14ac:dyDescent="0.25">
      <c r="A793" t="s">
        <v>830</v>
      </c>
      <c r="B793" t="s">
        <v>13</v>
      </c>
      <c r="C793" s="1">
        <v>38367</v>
      </c>
      <c r="D793" s="8">
        <f ca="1">ROUND(YEARFRAC(NEET[[#This Row],[Date_of_Birth]],TODAY()),0)</f>
        <v>21</v>
      </c>
      <c r="E793" t="s">
        <v>27</v>
      </c>
      <c r="F793" t="s">
        <v>15</v>
      </c>
      <c r="G793" t="s">
        <v>25</v>
      </c>
      <c r="H793">
        <v>3</v>
      </c>
      <c r="I793">
        <v>92</v>
      </c>
      <c r="J793">
        <v>81</v>
      </c>
      <c r="K793">
        <v>210</v>
      </c>
      <c r="L793">
        <v>383</v>
      </c>
      <c r="M793">
        <v>2023</v>
      </c>
    </row>
    <row r="794" spans="1:13" x14ac:dyDescent="0.25">
      <c r="A794" t="s">
        <v>831</v>
      </c>
      <c r="B794" t="s">
        <v>13</v>
      </c>
      <c r="C794" s="1">
        <v>39108</v>
      </c>
      <c r="D794" s="8">
        <f ca="1">ROUND(YEARFRAC(NEET[[#This Row],[Date_of_Birth]],TODAY()),0)</f>
        <v>19</v>
      </c>
      <c r="E794" t="s">
        <v>31</v>
      </c>
      <c r="F794" t="s">
        <v>32</v>
      </c>
      <c r="G794" t="s">
        <v>34</v>
      </c>
      <c r="H794">
        <v>4</v>
      </c>
      <c r="I794">
        <v>140</v>
      </c>
      <c r="J794">
        <v>136</v>
      </c>
      <c r="K794">
        <v>313</v>
      </c>
      <c r="L794">
        <v>589</v>
      </c>
      <c r="M794">
        <v>2026</v>
      </c>
    </row>
    <row r="795" spans="1:13" x14ac:dyDescent="0.25">
      <c r="A795" t="s">
        <v>832</v>
      </c>
      <c r="B795" t="s">
        <v>20</v>
      </c>
      <c r="C795" s="1">
        <v>38628</v>
      </c>
      <c r="D795" s="8">
        <f ca="1">ROUND(YEARFRAC(NEET[[#This Row],[Date_of_Birth]],TODAY()),0)</f>
        <v>21</v>
      </c>
      <c r="E795" t="s">
        <v>27</v>
      </c>
      <c r="F795" t="s">
        <v>15</v>
      </c>
      <c r="G795" t="s">
        <v>16</v>
      </c>
      <c r="H795">
        <v>3</v>
      </c>
      <c r="I795">
        <v>154</v>
      </c>
      <c r="J795">
        <v>89</v>
      </c>
      <c r="K795">
        <v>91</v>
      </c>
      <c r="L795">
        <v>334</v>
      </c>
      <c r="M795">
        <v>2023</v>
      </c>
    </row>
    <row r="796" spans="1:13" x14ac:dyDescent="0.25">
      <c r="A796" t="s">
        <v>833</v>
      </c>
      <c r="B796" t="s">
        <v>20</v>
      </c>
      <c r="C796" s="1">
        <v>37623</v>
      </c>
      <c r="D796" s="8">
        <f ca="1">ROUND(YEARFRAC(NEET[[#This Row],[Date_of_Birth]],TODAY()),0)</f>
        <v>23</v>
      </c>
      <c r="E796" t="s">
        <v>48</v>
      </c>
      <c r="F796" t="s">
        <v>49</v>
      </c>
      <c r="G796" t="s">
        <v>34</v>
      </c>
      <c r="H796">
        <v>4</v>
      </c>
      <c r="I796">
        <v>136</v>
      </c>
      <c r="J796">
        <v>151</v>
      </c>
      <c r="K796">
        <v>119</v>
      </c>
      <c r="L796">
        <v>406</v>
      </c>
      <c r="M796">
        <v>2023</v>
      </c>
    </row>
    <row r="797" spans="1:13" x14ac:dyDescent="0.25">
      <c r="A797" t="s">
        <v>834</v>
      </c>
      <c r="B797" t="s">
        <v>13</v>
      </c>
      <c r="C797" s="1">
        <v>37186</v>
      </c>
      <c r="D797" s="8">
        <f ca="1">ROUND(YEARFRAC(NEET[[#This Row],[Date_of_Birth]],TODAY()),0)</f>
        <v>25</v>
      </c>
      <c r="E797" t="s">
        <v>24</v>
      </c>
      <c r="F797" t="s">
        <v>15</v>
      </c>
      <c r="G797" t="s">
        <v>16</v>
      </c>
      <c r="H797">
        <v>2</v>
      </c>
      <c r="I797">
        <v>79</v>
      </c>
      <c r="J797">
        <v>150</v>
      </c>
      <c r="K797">
        <v>236</v>
      </c>
      <c r="L797">
        <v>465</v>
      </c>
      <c r="M797">
        <v>2025</v>
      </c>
    </row>
    <row r="798" spans="1:13" x14ac:dyDescent="0.25">
      <c r="A798" t="s">
        <v>835</v>
      </c>
      <c r="B798" t="s">
        <v>20</v>
      </c>
      <c r="C798" s="1">
        <v>38992</v>
      </c>
      <c r="D798" s="8">
        <f ca="1">ROUND(YEARFRAC(NEET[[#This Row],[Date_of_Birth]],TODAY()),0)</f>
        <v>20</v>
      </c>
      <c r="E798" t="s">
        <v>31</v>
      </c>
      <c r="F798" t="s">
        <v>32</v>
      </c>
      <c r="G798" t="s">
        <v>34</v>
      </c>
      <c r="H798">
        <v>3</v>
      </c>
      <c r="I798">
        <v>149</v>
      </c>
      <c r="J798">
        <v>63</v>
      </c>
      <c r="K798">
        <v>210</v>
      </c>
      <c r="L798">
        <v>422</v>
      </c>
      <c r="M798">
        <v>2024</v>
      </c>
    </row>
    <row r="799" spans="1:13" x14ac:dyDescent="0.25">
      <c r="A799" t="s">
        <v>836</v>
      </c>
      <c r="B799" t="s">
        <v>13</v>
      </c>
      <c r="C799" s="1">
        <v>39073</v>
      </c>
      <c r="D799" s="8">
        <f ca="1">ROUND(YEARFRAC(NEET[[#This Row],[Date_of_Birth]],TODAY()),0)</f>
        <v>19</v>
      </c>
      <c r="E799" t="s">
        <v>62</v>
      </c>
      <c r="F799" t="s">
        <v>15</v>
      </c>
      <c r="G799" t="s">
        <v>22</v>
      </c>
      <c r="H799">
        <v>2</v>
      </c>
      <c r="I799">
        <v>102</v>
      </c>
      <c r="J799">
        <v>52</v>
      </c>
      <c r="K799">
        <v>307</v>
      </c>
      <c r="L799">
        <v>461</v>
      </c>
      <c r="M799">
        <v>2026</v>
      </c>
    </row>
    <row r="800" spans="1:13" x14ac:dyDescent="0.25">
      <c r="A800" t="s">
        <v>837</v>
      </c>
      <c r="B800" t="s">
        <v>13</v>
      </c>
      <c r="C800" s="1">
        <v>36939</v>
      </c>
      <c r="D800" s="8">
        <f ca="1">ROUND(YEARFRAC(NEET[[#This Row],[Date_of_Birth]],TODAY()),0)</f>
        <v>25</v>
      </c>
      <c r="E800" t="s">
        <v>69</v>
      </c>
      <c r="F800" t="s">
        <v>70</v>
      </c>
      <c r="G800" t="s">
        <v>25</v>
      </c>
      <c r="H800">
        <v>1</v>
      </c>
      <c r="I800">
        <v>136</v>
      </c>
      <c r="J800">
        <v>156</v>
      </c>
      <c r="K800">
        <v>215</v>
      </c>
      <c r="L800">
        <v>507</v>
      </c>
      <c r="M800">
        <v>2025</v>
      </c>
    </row>
    <row r="801" spans="1:13" x14ac:dyDescent="0.25">
      <c r="A801" t="s">
        <v>838</v>
      </c>
      <c r="B801" t="s">
        <v>13</v>
      </c>
      <c r="C801" s="1">
        <v>37594</v>
      </c>
      <c r="D801" s="8">
        <f ca="1">ROUND(YEARFRAC(NEET[[#This Row],[Date_of_Birth]],TODAY()),0)</f>
        <v>23</v>
      </c>
      <c r="E801" t="s">
        <v>46</v>
      </c>
      <c r="F801" t="s">
        <v>15</v>
      </c>
      <c r="G801" t="s">
        <v>34</v>
      </c>
      <c r="H801">
        <v>3</v>
      </c>
      <c r="I801">
        <v>70</v>
      </c>
      <c r="J801">
        <v>74</v>
      </c>
      <c r="K801">
        <v>317</v>
      </c>
      <c r="L801">
        <v>461</v>
      </c>
      <c r="M801">
        <v>2023</v>
      </c>
    </row>
    <row r="802" spans="1:13" x14ac:dyDescent="0.25">
      <c r="A802" t="s">
        <v>839</v>
      </c>
      <c r="B802" t="s">
        <v>20</v>
      </c>
      <c r="C802" s="1">
        <v>39055</v>
      </c>
      <c r="D802" s="8">
        <f ca="1">ROUND(YEARFRAC(NEET[[#This Row],[Date_of_Birth]],TODAY()),0)</f>
        <v>19</v>
      </c>
      <c r="E802" t="s">
        <v>62</v>
      </c>
      <c r="F802" t="s">
        <v>15</v>
      </c>
      <c r="G802" t="s">
        <v>29</v>
      </c>
      <c r="H802">
        <v>3</v>
      </c>
      <c r="I802">
        <v>60</v>
      </c>
      <c r="J802">
        <v>173</v>
      </c>
      <c r="K802">
        <v>174</v>
      </c>
      <c r="L802">
        <v>407</v>
      </c>
      <c r="M802">
        <v>2023</v>
      </c>
    </row>
    <row r="803" spans="1:13" x14ac:dyDescent="0.25">
      <c r="A803" t="s">
        <v>840</v>
      </c>
      <c r="B803" t="s">
        <v>13</v>
      </c>
      <c r="C803" s="1">
        <v>39680</v>
      </c>
      <c r="D803" s="8">
        <f ca="1">ROUND(YEARFRAC(NEET[[#This Row],[Date_of_Birth]],TODAY()),0)</f>
        <v>18</v>
      </c>
      <c r="E803" t="s">
        <v>48</v>
      </c>
      <c r="F803" t="s">
        <v>49</v>
      </c>
      <c r="G803" t="s">
        <v>34</v>
      </c>
      <c r="H803">
        <v>4</v>
      </c>
      <c r="I803">
        <v>172</v>
      </c>
      <c r="J803">
        <v>98</v>
      </c>
      <c r="K803">
        <v>137</v>
      </c>
      <c r="L803">
        <v>407</v>
      </c>
      <c r="M803">
        <v>2023</v>
      </c>
    </row>
    <row r="804" spans="1:13" x14ac:dyDescent="0.25">
      <c r="A804" t="s">
        <v>841</v>
      </c>
      <c r="B804" t="s">
        <v>13</v>
      </c>
      <c r="C804" s="1">
        <v>36959</v>
      </c>
      <c r="D804" s="8">
        <f ca="1">ROUND(YEARFRAC(NEET[[#This Row],[Date_of_Birth]],TODAY()),0)</f>
        <v>25</v>
      </c>
      <c r="E804" t="s">
        <v>69</v>
      </c>
      <c r="F804" t="s">
        <v>70</v>
      </c>
      <c r="G804" t="s">
        <v>22</v>
      </c>
      <c r="H804">
        <v>1</v>
      </c>
      <c r="I804">
        <v>56</v>
      </c>
      <c r="J804">
        <v>173</v>
      </c>
      <c r="K804">
        <v>81</v>
      </c>
      <c r="L804">
        <v>310</v>
      </c>
      <c r="M804">
        <v>2025</v>
      </c>
    </row>
    <row r="805" spans="1:13" x14ac:dyDescent="0.25">
      <c r="A805" t="s">
        <v>842</v>
      </c>
      <c r="B805" t="s">
        <v>13</v>
      </c>
      <c r="C805" s="1">
        <v>37169</v>
      </c>
      <c r="D805" s="8">
        <f ca="1">ROUND(YEARFRAC(NEET[[#This Row],[Date_of_Birth]],TODAY()),0)</f>
        <v>25</v>
      </c>
      <c r="E805" t="s">
        <v>36</v>
      </c>
      <c r="F805" t="s">
        <v>37</v>
      </c>
      <c r="G805" t="s">
        <v>29</v>
      </c>
      <c r="H805">
        <v>2</v>
      </c>
      <c r="I805">
        <v>104</v>
      </c>
      <c r="J805">
        <v>143</v>
      </c>
      <c r="K805">
        <v>319</v>
      </c>
      <c r="L805">
        <v>566</v>
      </c>
      <c r="M805">
        <v>2025</v>
      </c>
    </row>
    <row r="806" spans="1:13" x14ac:dyDescent="0.25">
      <c r="A806" t="s">
        <v>843</v>
      </c>
      <c r="B806" t="s">
        <v>13</v>
      </c>
      <c r="C806" s="1">
        <v>37090</v>
      </c>
      <c r="D806" s="8">
        <f ca="1">ROUND(YEARFRAC(NEET[[#This Row],[Date_of_Birth]],TODAY()),0)</f>
        <v>25</v>
      </c>
      <c r="E806" t="s">
        <v>14</v>
      </c>
      <c r="F806" t="s">
        <v>15</v>
      </c>
      <c r="G806" t="s">
        <v>29</v>
      </c>
      <c r="H806">
        <v>4</v>
      </c>
      <c r="I806">
        <v>81</v>
      </c>
      <c r="J806">
        <v>142</v>
      </c>
      <c r="K806">
        <v>272</v>
      </c>
      <c r="L806">
        <v>495</v>
      </c>
      <c r="M806">
        <v>2025</v>
      </c>
    </row>
    <row r="807" spans="1:13" x14ac:dyDescent="0.25">
      <c r="A807" t="s">
        <v>844</v>
      </c>
      <c r="B807" t="s">
        <v>20</v>
      </c>
      <c r="C807" s="1">
        <v>38594</v>
      </c>
      <c r="D807" s="8">
        <f ca="1">ROUND(YEARFRAC(NEET[[#This Row],[Date_of_Birth]],TODAY()),0)</f>
        <v>21</v>
      </c>
      <c r="E807" t="s">
        <v>40</v>
      </c>
      <c r="F807" t="s">
        <v>15</v>
      </c>
      <c r="G807" t="s">
        <v>22</v>
      </c>
      <c r="H807">
        <v>2</v>
      </c>
      <c r="I807">
        <v>51</v>
      </c>
      <c r="J807">
        <v>98</v>
      </c>
      <c r="K807">
        <v>250</v>
      </c>
      <c r="L807">
        <v>399</v>
      </c>
      <c r="M807">
        <v>2026</v>
      </c>
    </row>
    <row r="808" spans="1:13" x14ac:dyDescent="0.25">
      <c r="A808" t="s">
        <v>845</v>
      </c>
      <c r="B808" t="s">
        <v>20</v>
      </c>
      <c r="C808" s="1">
        <v>39750</v>
      </c>
      <c r="D808" s="8">
        <f ca="1">ROUND(YEARFRAC(NEET[[#This Row],[Date_of_Birth]],TODAY()),0)</f>
        <v>18</v>
      </c>
      <c r="E808" t="s">
        <v>62</v>
      </c>
      <c r="F808" t="s">
        <v>15</v>
      </c>
      <c r="G808" t="s">
        <v>25</v>
      </c>
      <c r="H808">
        <v>3</v>
      </c>
      <c r="I808">
        <v>65</v>
      </c>
      <c r="J808">
        <v>139</v>
      </c>
      <c r="K808">
        <v>271</v>
      </c>
      <c r="L808">
        <v>475</v>
      </c>
      <c r="M808">
        <v>2026</v>
      </c>
    </row>
    <row r="809" spans="1:13" x14ac:dyDescent="0.25">
      <c r="A809" t="s">
        <v>846</v>
      </c>
      <c r="B809" t="s">
        <v>20</v>
      </c>
      <c r="C809" s="1">
        <v>37122</v>
      </c>
      <c r="D809" s="8">
        <f ca="1">ROUND(YEARFRAC(NEET[[#This Row],[Date_of_Birth]],TODAY()),0)</f>
        <v>25</v>
      </c>
      <c r="E809" t="s">
        <v>69</v>
      </c>
      <c r="F809" t="s">
        <v>70</v>
      </c>
      <c r="G809" t="s">
        <v>34</v>
      </c>
      <c r="H809">
        <v>3</v>
      </c>
      <c r="I809">
        <v>32</v>
      </c>
      <c r="J809">
        <v>162</v>
      </c>
      <c r="K809">
        <v>95</v>
      </c>
      <c r="L809">
        <v>289</v>
      </c>
      <c r="M809">
        <v>2024</v>
      </c>
    </row>
    <row r="810" spans="1:13" x14ac:dyDescent="0.25">
      <c r="A810" t="s">
        <v>847</v>
      </c>
      <c r="B810" t="s">
        <v>20</v>
      </c>
      <c r="C810" s="1">
        <v>38303</v>
      </c>
      <c r="D810" s="8">
        <f ca="1">ROUND(YEARFRAC(NEET[[#This Row],[Date_of_Birth]],TODAY()),0)</f>
        <v>22</v>
      </c>
      <c r="E810" t="s">
        <v>53</v>
      </c>
      <c r="F810" t="s">
        <v>15</v>
      </c>
      <c r="G810" t="s">
        <v>34</v>
      </c>
      <c r="H810">
        <v>4</v>
      </c>
      <c r="I810">
        <v>130</v>
      </c>
      <c r="J810">
        <v>39</v>
      </c>
      <c r="K810">
        <v>137</v>
      </c>
      <c r="L810">
        <v>306</v>
      </c>
      <c r="M810">
        <v>2025</v>
      </c>
    </row>
    <row r="811" spans="1:13" x14ac:dyDescent="0.25">
      <c r="A811" t="s">
        <v>848</v>
      </c>
      <c r="B811" t="s">
        <v>13</v>
      </c>
      <c r="C811" s="1">
        <v>39481</v>
      </c>
      <c r="D811" s="8">
        <f ca="1">ROUND(YEARFRAC(NEET[[#This Row],[Date_of_Birth]],TODAY()),0)</f>
        <v>18</v>
      </c>
      <c r="E811" t="s">
        <v>36</v>
      </c>
      <c r="F811" t="s">
        <v>37</v>
      </c>
      <c r="G811" t="s">
        <v>34</v>
      </c>
      <c r="H811">
        <v>4</v>
      </c>
      <c r="I811">
        <v>110</v>
      </c>
      <c r="J811">
        <v>118</v>
      </c>
      <c r="K811">
        <v>64</v>
      </c>
      <c r="L811">
        <v>292</v>
      </c>
      <c r="M811">
        <v>2024</v>
      </c>
    </row>
    <row r="812" spans="1:13" x14ac:dyDescent="0.25">
      <c r="A812" t="s">
        <v>849</v>
      </c>
      <c r="B812" t="s">
        <v>20</v>
      </c>
      <c r="C812" s="1">
        <v>38755</v>
      </c>
      <c r="D812" s="8">
        <f ca="1">ROUND(YEARFRAC(NEET[[#This Row],[Date_of_Birth]],TODAY()),0)</f>
        <v>20</v>
      </c>
      <c r="E812" t="s">
        <v>27</v>
      </c>
      <c r="F812" t="s">
        <v>15</v>
      </c>
      <c r="G812" t="s">
        <v>25</v>
      </c>
      <c r="H812">
        <v>1</v>
      </c>
      <c r="I812">
        <v>143</v>
      </c>
      <c r="J812">
        <v>118</v>
      </c>
      <c r="K812">
        <v>267</v>
      </c>
      <c r="L812">
        <v>528</v>
      </c>
      <c r="M812">
        <v>2025</v>
      </c>
    </row>
    <row r="813" spans="1:13" x14ac:dyDescent="0.25">
      <c r="A813" t="s">
        <v>850</v>
      </c>
      <c r="B813" t="s">
        <v>13</v>
      </c>
      <c r="C813" s="1">
        <v>38123</v>
      </c>
      <c r="D813" s="8">
        <f ca="1">ROUND(YEARFRAC(NEET[[#This Row],[Date_of_Birth]],TODAY()),0)</f>
        <v>22</v>
      </c>
      <c r="E813" t="s">
        <v>36</v>
      </c>
      <c r="F813" t="s">
        <v>37</v>
      </c>
      <c r="G813" t="s">
        <v>16</v>
      </c>
      <c r="H813">
        <v>1</v>
      </c>
      <c r="I813">
        <v>62</v>
      </c>
      <c r="J813">
        <v>163</v>
      </c>
      <c r="K813">
        <v>336</v>
      </c>
      <c r="L813">
        <v>561</v>
      </c>
      <c r="M813">
        <v>2025</v>
      </c>
    </row>
    <row r="814" spans="1:13" x14ac:dyDescent="0.25">
      <c r="A814" t="s">
        <v>851</v>
      </c>
      <c r="B814" t="s">
        <v>13</v>
      </c>
      <c r="C814" s="1">
        <v>38661</v>
      </c>
      <c r="D814" s="8">
        <f ca="1">ROUND(YEARFRAC(NEET[[#This Row],[Date_of_Birth]],TODAY()),0)</f>
        <v>21</v>
      </c>
      <c r="E814" t="s">
        <v>46</v>
      </c>
      <c r="F814" t="s">
        <v>15</v>
      </c>
      <c r="G814" t="s">
        <v>34</v>
      </c>
      <c r="H814">
        <v>3</v>
      </c>
      <c r="I814">
        <v>70</v>
      </c>
      <c r="J814">
        <v>35</v>
      </c>
      <c r="K814">
        <v>74</v>
      </c>
      <c r="L814">
        <v>179</v>
      </c>
      <c r="M814">
        <v>2023</v>
      </c>
    </row>
    <row r="815" spans="1:13" x14ac:dyDescent="0.25">
      <c r="A815" t="s">
        <v>852</v>
      </c>
      <c r="B815" t="s">
        <v>13</v>
      </c>
      <c r="C815" s="1">
        <v>39524</v>
      </c>
      <c r="D815" s="8">
        <f ca="1">ROUND(YEARFRAC(NEET[[#This Row],[Date_of_Birth]],TODAY()),0)</f>
        <v>18</v>
      </c>
      <c r="E815" t="s">
        <v>53</v>
      </c>
      <c r="F815" t="s">
        <v>15</v>
      </c>
      <c r="G815" t="s">
        <v>25</v>
      </c>
      <c r="H815">
        <v>1</v>
      </c>
      <c r="I815">
        <v>125</v>
      </c>
      <c r="J815">
        <v>96</v>
      </c>
      <c r="K815">
        <v>319</v>
      </c>
      <c r="L815">
        <v>540</v>
      </c>
      <c r="M815">
        <v>2026</v>
      </c>
    </row>
    <row r="816" spans="1:13" x14ac:dyDescent="0.25">
      <c r="A816" t="s">
        <v>853</v>
      </c>
      <c r="B816" t="s">
        <v>13</v>
      </c>
      <c r="C816" s="1">
        <v>37746</v>
      </c>
      <c r="D816" s="8">
        <f ca="1">ROUND(YEARFRAC(NEET[[#This Row],[Date_of_Birth]],TODAY()),0)</f>
        <v>23</v>
      </c>
      <c r="E816" t="s">
        <v>27</v>
      </c>
      <c r="F816" t="s">
        <v>15</v>
      </c>
      <c r="G816" t="s">
        <v>29</v>
      </c>
      <c r="H816">
        <v>3</v>
      </c>
      <c r="I816">
        <v>31</v>
      </c>
      <c r="J816">
        <v>146</v>
      </c>
      <c r="K816">
        <v>233</v>
      </c>
      <c r="L816">
        <v>410</v>
      </c>
      <c r="M816">
        <v>2025</v>
      </c>
    </row>
    <row r="817" spans="1:13" x14ac:dyDescent="0.25">
      <c r="A817" t="s">
        <v>854</v>
      </c>
      <c r="B817" t="s">
        <v>13</v>
      </c>
      <c r="C817" s="1">
        <v>39257</v>
      </c>
      <c r="D817" s="8">
        <f ca="1">ROUND(YEARFRAC(NEET[[#This Row],[Date_of_Birth]],TODAY()),0)</f>
        <v>19</v>
      </c>
      <c r="E817" t="s">
        <v>69</v>
      </c>
      <c r="F817" t="s">
        <v>70</v>
      </c>
      <c r="G817" t="s">
        <v>16</v>
      </c>
      <c r="H817">
        <v>3</v>
      </c>
      <c r="I817">
        <v>176</v>
      </c>
      <c r="J817">
        <v>65</v>
      </c>
      <c r="K817">
        <v>253</v>
      </c>
      <c r="L817">
        <v>494</v>
      </c>
      <c r="M817">
        <v>2024</v>
      </c>
    </row>
    <row r="818" spans="1:13" x14ac:dyDescent="0.25">
      <c r="A818" t="s">
        <v>855</v>
      </c>
      <c r="B818" t="s">
        <v>20</v>
      </c>
      <c r="C818" s="1">
        <v>39714</v>
      </c>
      <c r="D818" s="8">
        <f ca="1">ROUND(YEARFRAC(NEET[[#This Row],[Date_of_Birth]],TODAY()),0)</f>
        <v>18</v>
      </c>
      <c r="E818" t="s">
        <v>46</v>
      </c>
      <c r="F818" t="s">
        <v>15</v>
      </c>
      <c r="G818" t="s">
        <v>25</v>
      </c>
      <c r="H818">
        <v>1</v>
      </c>
      <c r="I818">
        <v>146</v>
      </c>
      <c r="J818">
        <v>55</v>
      </c>
      <c r="K818">
        <v>135</v>
      </c>
      <c r="L818">
        <v>336</v>
      </c>
      <c r="M818">
        <v>2023</v>
      </c>
    </row>
    <row r="819" spans="1:13" x14ac:dyDescent="0.25">
      <c r="A819" t="s">
        <v>856</v>
      </c>
      <c r="B819" t="s">
        <v>13</v>
      </c>
      <c r="C819" s="1">
        <v>38266</v>
      </c>
      <c r="D819" s="8">
        <f ca="1">ROUND(YEARFRAC(NEET[[#This Row],[Date_of_Birth]],TODAY()),0)</f>
        <v>22</v>
      </c>
      <c r="E819" t="s">
        <v>48</v>
      </c>
      <c r="F819" t="s">
        <v>49</v>
      </c>
      <c r="G819" t="s">
        <v>16</v>
      </c>
      <c r="H819">
        <v>3</v>
      </c>
      <c r="I819">
        <v>63</v>
      </c>
      <c r="J819">
        <v>151</v>
      </c>
      <c r="K819">
        <v>169</v>
      </c>
      <c r="L819">
        <v>383</v>
      </c>
      <c r="M819">
        <v>2026</v>
      </c>
    </row>
    <row r="820" spans="1:13" x14ac:dyDescent="0.25">
      <c r="A820" t="s">
        <v>857</v>
      </c>
      <c r="B820" t="s">
        <v>20</v>
      </c>
      <c r="C820" s="1">
        <v>38935</v>
      </c>
      <c r="D820" s="8">
        <f ca="1">ROUND(YEARFRAC(NEET[[#This Row],[Date_of_Birth]],TODAY()),0)</f>
        <v>20</v>
      </c>
      <c r="E820" t="s">
        <v>42</v>
      </c>
      <c r="F820" t="s">
        <v>15</v>
      </c>
      <c r="G820" t="s">
        <v>34</v>
      </c>
      <c r="H820">
        <v>4</v>
      </c>
      <c r="I820">
        <v>162</v>
      </c>
      <c r="J820">
        <v>131</v>
      </c>
      <c r="K820">
        <v>195</v>
      </c>
      <c r="L820">
        <v>488</v>
      </c>
      <c r="M820">
        <v>2026</v>
      </c>
    </row>
    <row r="821" spans="1:13" x14ac:dyDescent="0.25">
      <c r="A821" t="s">
        <v>858</v>
      </c>
      <c r="B821" t="s">
        <v>13</v>
      </c>
      <c r="C821" s="1">
        <v>37193</v>
      </c>
      <c r="D821" s="8">
        <f ca="1">ROUND(YEARFRAC(NEET[[#This Row],[Date_of_Birth]],TODAY()),0)</f>
        <v>25</v>
      </c>
      <c r="E821" t="s">
        <v>40</v>
      </c>
      <c r="F821" t="s">
        <v>15</v>
      </c>
      <c r="G821" t="s">
        <v>22</v>
      </c>
      <c r="H821">
        <v>1</v>
      </c>
      <c r="I821">
        <v>159</v>
      </c>
      <c r="J821">
        <v>62</v>
      </c>
      <c r="K821">
        <v>308</v>
      </c>
      <c r="L821">
        <v>529</v>
      </c>
      <c r="M821">
        <v>2026</v>
      </c>
    </row>
    <row r="822" spans="1:13" x14ac:dyDescent="0.25">
      <c r="A822" t="s">
        <v>859</v>
      </c>
      <c r="B822" t="s">
        <v>20</v>
      </c>
      <c r="C822" s="1">
        <v>38464</v>
      </c>
      <c r="D822" s="8">
        <f ca="1">ROUND(YEARFRAC(NEET[[#This Row],[Date_of_Birth]],TODAY()),0)</f>
        <v>21</v>
      </c>
      <c r="E822" t="s">
        <v>53</v>
      </c>
      <c r="F822" t="s">
        <v>15</v>
      </c>
      <c r="G822" t="s">
        <v>25</v>
      </c>
      <c r="H822">
        <v>1</v>
      </c>
      <c r="I822">
        <v>70</v>
      </c>
      <c r="J822">
        <v>173</v>
      </c>
      <c r="K822">
        <v>249</v>
      </c>
      <c r="L822">
        <v>492</v>
      </c>
      <c r="M822">
        <v>2025</v>
      </c>
    </row>
    <row r="823" spans="1:13" x14ac:dyDescent="0.25">
      <c r="A823" t="s">
        <v>860</v>
      </c>
      <c r="B823" t="s">
        <v>20</v>
      </c>
      <c r="C823" s="1">
        <v>38867</v>
      </c>
      <c r="D823" s="8">
        <f ca="1">ROUND(YEARFRAC(NEET[[#This Row],[Date_of_Birth]],TODAY()),0)</f>
        <v>20</v>
      </c>
      <c r="E823" t="s">
        <v>24</v>
      </c>
      <c r="F823" t="s">
        <v>15</v>
      </c>
      <c r="G823" t="s">
        <v>29</v>
      </c>
      <c r="H823">
        <v>3</v>
      </c>
      <c r="I823">
        <v>40</v>
      </c>
      <c r="J823">
        <v>163</v>
      </c>
      <c r="K823">
        <v>138</v>
      </c>
      <c r="L823">
        <v>341</v>
      </c>
      <c r="M823">
        <v>2025</v>
      </c>
    </row>
    <row r="824" spans="1:13" x14ac:dyDescent="0.25">
      <c r="A824" t="s">
        <v>861</v>
      </c>
      <c r="B824" t="s">
        <v>13</v>
      </c>
      <c r="C824" s="1">
        <v>37730</v>
      </c>
      <c r="D824" s="8">
        <f ca="1">ROUND(YEARFRAC(NEET[[#This Row],[Date_of_Birth]],TODAY()),0)</f>
        <v>23</v>
      </c>
      <c r="E824" t="s">
        <v>73</v>
      </c>
      <c r="F824" t="s">
        <v>15</v>
      </c>
      <c r="G824" t="s">
        <v>29</v>
      </c>
      <c r="H824">
        <v>3</v>
      </c>
      <c r="I824">
        <v>37</v>
      </c>
      <c r="J824">
        <v>66</v>
      </c>
      <c r="K824">
        <v>132</v>
      </c>
      <c r="L824">
        <v>235</v>
      </c>
      <c r="M824">
        <v>2024</v>
      </c>
    </row>
    <row r="825" spans="1:13" x14ac:dyDescent="0.25">
      <c r="A825" t="s">
        <v>862</v>
      </c>
      <c r="B825" t="s">
        <v>13</v>
      </c>
      <c r="C825" s="1">
        <v>37275</v>
      </c>
      <c r="D825" s="8">
        <f ca="1">ROUND(YEARFRAC(NEET[[#This Row],[Date_of_Birth]],TODAY()),0)</f>
        <v>24</v>
      </c>
      <c r="E825" t="s">
        <v>31</v>
      </c>
      <c r="F825" t="s">
        <v>32</v>
      </c>
      <c r="G825" t="s">
        <v>34</v>
      </c>
      <c r="H825">
        <v>1</v>
      </c>
      <c r="I825">
        <v>155</v>
      </c>
      <c r="J825">
        <v>30</v>
      </c>
      <c r="K825">
        <v>122</v>
      </c>
      <c r="L825">
        <v>307</v>
      </c>
      <c r="M825">
        <v>2026</v>
      </c>
    </row>
    <row r="826" spans="1:13" x14ac:dyDescent="0.25">
      <c r="A826" t="s">
        <v>863</v>
      </c>
      <c r="B826" t="s">
        <v>20</v>
      </c>
      <c r="C826" s="1">
        <v>38873</v>
      </c>
      <c r="D826" s="8">
        <f ca="1">ROUND(YEARFRAC(NEET[[#This Row],[Date_of_Birth]],TODAY()),0)</f>
        <v>20</v>
      </c>
      <c r="E826" t="s">
        <v>24</v>
      </c>
      <c r="F826" t="s">
        <v>15</v>
      </c>
      <c r="G826" t="s">
        <v>22</v>
      </c>
      <c r="H826">
        <v>2</v>
      </c>
      <c r="I826">
        <v>174</v>
      </c>
      <c r="J826">
        <v>145</v>
      </c>
      <c r="K826">
        <v>232</v>
      </c>
      <c r="L826">
        <v>551</v>
      </c>
      <c r="M826">
        <v>2026</v>
      </c>
    </row>
    <row r="827" spans="1:13" x14ac:dyDescent="0.25">
      <c r="A827" t="s">
        <v>864</v>
      </c>
      <c r="B827" t="s">
        <v>20</v>
      </c>
      <c r="C827" s="1">
        <v>39645</v>
      </c>
      <c r="D827" s="8">
        <f ca="1">ROUND(YEARFRAC(NEET[[#This Row],[Date_of_Birth]],TODAY()),0)</f>
        <v>18</v>
      </c>
      <c r="E827" t="s">
        <v>73</v>
      </c>
      <c r="F827" t="s">
        <v>15</v>
      </c>
      <c r="G827" t="s">
        <v>22</v>
      </c>
      <c r="H827">
        <v>4</v>
      </c>
      <c r="I827">
        <v>144</v>
      </c>
      <c r="J827">
        <v>68</v>
      </c>
      <c r="K827">
        <v>226</v>
      </c>
      <c r="L827">
        <v>438</v>
      </c>
      <c r="M827">
        <v>2026</v>
      </c>
    </row>
    <row r="828" spans="1:13" x14ac:dyDescent="0.25">
      <c r="A828" t="s">
        <v>865</v>
      </c>
      <c r="B828" t="s">
        <v>13</v>
      </c>
      <c r="C828" s="1">
        <v>37914</v>
      </c>
      <c r="D828" s="8">
        <f ca="1">ROUND(YEARFRAC(NEET[[#This Row],[Date_of_Birth]],TODAY()),0)</f>
        <v>23</v>
      </c>
      <c r="E828" t="s">
        <v>42</v>
      </c>
      <c r="F828" t="s">
        <v>15</v>
      </c>
      <c r="G828" t="s">
        <v>16</v>
      </c>
      <c r="H828">
        <v>1</v>
      </c>
      <c r="I828">
        <v>41</v>
      </c>
      <c r="J828">
        <v>143</v>
      </c>
      <c r="K828">
        <v>202</v>
      </c>
      <c r="L828">
        <v>386</v>
      </c>
      <c r="M828">
        <v>2025</v>
      </c>
    </row>
    <row r="829" spans="1:13" x14ac:dyDescent="0.25">
      <c r="A829" t="s">
        <v>866</v>
      </c>
      <c r="B829" t="s">
        <v>13</v>
      </c>
      <c r="C829" s="1">
        <v>38824</v>
      </c>
      <c r="D829" s="8">
        <f ca="1">ROUND(YEARFRAC(NEET[[#This Row],[Date_of_Birth]],TODAY()),0)</f>
        <v>20</v>
      </c>
      <c r="E829" t="s">
        <v>21</v>
      </c>
      <c r="F829" t="s">
        <v>21</v>
      </c>
      <c r="G829" t="s">
        <v>34</v>
      </c>
      <c r="H829">
        <v>2</v>
      </c>
      <c r="I829">
        <v>61</v>
      </c>
      <c r="J829">
        <v>173</v>
      </c>
      <c r="K829">
        <v>103</v>
      </c>
      <c r="L829">
        <v>337</v>
      </c>
      <c r="M829">
        <v>2023</v>
      </c>
    </row>
    <row r="830" spans="1:13" x14ac:dyDescent="0.25">
      <c r="A830" t="s">
        <v>867</v>
      </c>
      <c r="B830" t="s">
        <v>13</v>
      </c>
      <c r="C830" s="1">
        <v>37018</v>
      </c>
      <c r="D830" s="8">
        <f ca="1">ROUND(YEARFRAC(NEET[[#This Row],[Date_of_Birth]],TODAY()),0)</f>
        <v>25</v>
      </c>
      <c r="E830" t="s">
        <v>21</v>
      </c>
      <c r="F830" t="s">
        <v>21</v>
      </c>
      <c r="G830" t="s">
        <v>16</v>
      </c>
      <c r="H830">
        <v>2</v>
      </c>
      <c r="I830">
        <v>166</v>
      </c>
      <c r="J830">
        <v>76</v>
      </c>
      <c r="K830">
        <v>69</v>
      </c>
      <c r="L830">
        <v>311</v>
      </c>
      <c r="M830">
        <v>2026</v>
      </c>
    </row>
    <row r="831" spans="1:13" x14ac:dyDescent="0.25">
      <c r="A831" t="s">
        <v>868</v>
      </c>
      <c r="B831" t="s">
        <v>20</v>
      </c>
      <c r="C831" s="1">
        <v>36872</v>
      </c>
      <c r="D831" s="8">
        <f ca="1">ROUND(YEARFRAC(NEET[[#This Row],[Date_of_Birth]],TODAY()),0)</f>
        <v>25</v>
      </c>
      <c r="E831" t="s">
        <v>69</v>
      </c>
      <c r="F831" t="s">
        <v>70</v>
      </c>
      <c r="G831" t="s">
        <v>29</v>
      </c>
      <c r="H831">
        <v>1</v>
      </c>
      <c r="I831">
        <v>166</v>
      </c>
      <c r="J831">
        <v>112</v>
      </c>
      <c r="K831">
        <v>265</v>
      </c>
      <c r="L831">
        <v>543</v>
      </c>
      <c r="M831">
        <v>2026</v>
      </c>
    </row>
    <row r="832" spans="1:13" x14ac:dyDescent="0.25">
      <c r="A832" t="s">
        <v>869</v>
      </c>
      <c r="B832" t="s">
        <v>20</v>
      </c>
      <c r="C832" s="1">
        <v>37265</v>
      </c>
      <c r="D832" s="8">
        <f ca="1">ROUND(YEARFRAC(NEET[[#This Row],[Date_of_Birth]],TODAY()),0)</f>
        <v>24</v>
      </c>
      <c r="E832" t="s">
        <v>18</v>
      </c>
      <c r="F832" t="s">
        <v>15</v>
      </c>
      <c r="G832" t="s">
        <v>25</v>
      </c>
      <c r="H832">
        <v>1</v>
      </c>
      <c r="I832">
        <v>36</v>
      </c>
      <c r="J832">
        <v>165</v>
      </c>
      <c r="K832">
        <v>222</v>
      </c>
      <c r="L832">
        <v>423</v>
      </c>
      <c r="M832">
        <v>2023</v>
      </c>
    </row>
    <row r="833" spans="1:13" x14ac:dyDescent="0.25">
      <c r="A833" t="s">
        <v>870</v>
      </c>
      <c r="B833" t="s">
        <v>13</v>
      </c>
      <c r="C833" s="1">
        <v>38745</v>
      </c>
      <c r="D833" s="8">
        <f ca="1">ROUND(YEARFRAC(NEET[[#This Row],[Date_of_Birth]],TODAY()),0)</f>
        <v>20</v>
      </c>
      <c r="E833" t="s">
        <v>40</v>
      </c>
      <c r="F833" t="s">
        <v>15</v>
      </c>
      <c r="G833" t="s">
        <v>29</v>
      </c>
      <c r="H833">
        <v>2</v>
      </c>
      <c r="I833">
        <v>103</v>
      </c>
      <c r="J833">
        <v>66</v>
      </c>
      <c r="K833">
        <v>153</v>
      </c>
      <c r="L833">
        <v>322</v>
      </c>
      <c r="M833">
        <v>2026</v>
      </c>
    </row>
    <row r="834" spans="1:13" x14ac:dyDescent="0.25">
      <c r="A834" t="s">
        <v>871</v>
      </c>
      <c r="B834" t="s">
        <v>13</v>
      </c>
      <c r="C834" s="1">
        <v>39305</v>
      </c>
      <c r="D834" s="8">
        <f ca="1">ROUND(YEARFRAC(NEET[[#This Row],[Date_of_Birth]],TODAY()),0)</f>
        <v>19</v>
      </c>
      <c r="E834" t="s">
        <v>40</v>
      </c>
      <c r="F834" t="s">
        <v>15</v>
      </c>
      <c r="G834" t="s">
        <v>34</v>
      </c>
      <c r="H834">
        <v>3</v>
      </c>
      <c r="I834">
        <v>45</v>
      </c>
      <c r="J834">
        <v>113</v>
      </c>
      <c r="K834">
        <v>152</v>
      </c>
      <c r="L834">
        <v>310</v>
      </c>
      <c r="M834">
        <v>2023</v>
      </c>
    </row>
    <row r="835" spans="1:13" x14ac:dyDescent="0.25">
      <c r="A835" t="s">
        <v>872</v>
      </c>
      <c r="B835" t="s">
        <v>13</v>
      </c>
      <c r="C835" s="1">
        <v>37836</v>
      </c>
      <c r="D835" s="8">
        <f ca="1">ROUND(YEARFRAC(NEET[[#This Row],[Date_of_Birth]],TODAY()),0)</f>
        <v>23</v>
      </c>
      <c r="E835" t="s">
        <v>40</v>
      </c>
      <c r="F835" t="s">
        <v>15</v>
      </c>
      <c r="G835" t="s">
        <v>22</v>
      </c>
      <c r="H835">
        <v>1</v>
      </c>
      <c r="I835">
        <v>135</v>
      </c>
      <c r="J835">
        <v>112</v>
      </c>
      <c r="K835">
        <v>192</v>
      </c>
      <c r="L835">
        <v>439</v>
      </c>
      <c r="M835">
        <v>2024</v>
      </c>
    </row>
    <row r="836" spans="1:13" x14ac:dyDescent="0.25">
      <c r="A836" t="s">
        <v>873</v>
      </c>
      <c r="B836" t="s">
        <v>13</v>
      </c>
      <c r="C836" s="1">
        <v>39606</v>
      </c>
      <c r="D836" s="8">
        <f ca="1">ROUND(YEARFRAC(NEET[[#This Row],[Date_of_Birth]],TODAY()),0)</f>
        <v>18</v>
      </c>
      <c r="E836" t="s">
        <v>27</v>
      </c>
      <c r="F836" t="s">
        <v>15</v>
      </c>
      <c r="G836" t="s">
        <v>25</v>
      </c>
      <c r="H836">
        <v>3</v>
      </c>
      <c r="I836">
        <v>180</v>
      </c>
      <c r="J836">
        <v>90</v>
      </c>
      <c r="K836">
        <v>312</v>
      </c>
      <c r="L836">
        <v>582</v>
      </c>
      <c r="M836">
        <v>2025</v>
      </c>
    </row>
    <row r="837" spans="1:13" x14ac:dyDescent="0.25">
      <c r="A837" t="s">
        <v>874</v>
      </c>
      <c r="B837" t="s">
        <v>20</v>
      </c>
      <c r="C837" s="1">
        <v>38429</v>
      </c>
      <c r="D837" s="8">
        <f ca="1">ROUND(YEARFRAC(NEET[[#This Row],[Date_of_Birth]],TODAY()),0)</f>
        <v>21</v>
      </c>
      <c r="E837" t="s">
        <v>42</v>
      </c>
      <c r="F837" t="s">
        <v>15</v>
      </c>
      <c r="G837" t="s">
        <v>25</v>
      </c>
      <c r="H837">
        <v>2</v>
      </c>
      <c r="I837">
        <v>134</v>
      </c>
      <c r="J837">
        <v>46</v>
      </c>
      <c r="K837">
        <v>307</v>
      </c>
      <c r="L837">
        <v>487</v>
      </c>
      <c r="M837">
        <v>2025</v>
      </c>
    </row>
    <row r="838" spans="1:13" x14ac:dyDescent="0.25">
      <c r="A838" t="s">
        <v>875</v>
      </c>
      <c r="B838" t="s">
        <v>20</v>
      </c>
      <c r="C838" s="1">
        <v>38795</v>
      </c>
      <c r="D838" s="8">
        <f ca="1">ROUND(YEARFRAC(NEET[[#This Row],[Date_of_Birth]],TODAY()),0)</f>
        <v>20</v>
      </c>
      <c r="E838" t="s">
        <v>27</v>
      </c>
      <c r="F838" t="s">
        <v>15</v>
      </c>
      <c r="G838" t="s">
        <v>34</v>
      </c>
      <c r="H838">
        <v>4</v>
      </c>
      <c r="I838">
        <v>55</v>
      </c>
      <c r="J838">
        <v>93</v>
      </c>
      <c r="K838">
        <v>344</v>
      </c>
      <c r="L838">
        <v>492</v>
      </c>
      <c r="M838">
        <v>2023</v>
      </c>
    </row>
    <row r="839" spans="1:13" x14ac:dyDescent="0.25">
      <c r="A839" t="s">
        <v>876</v>
      </c>
      <c r="B839" t="s">
        <v>13</v>
      </c>
      <c r="C839" s="1">
        <v>39130</v>
      </c>
      <c r="D839" s="8">
        <f ca="1">ROUND(YEARFRAC(NEET[[#This Row],[Date_of_Birth]],TODAY()),0)</f>
        <v>19</v>
      </c>
      <c r="E839" t="s">
        <v>42</v>
      </c>
      <c r="F839" t="s">
        <v>15</v>
      </c>
      <c r="G839" t="s">
        <v>16</v>
      </c>
      <c r="H839">
        <v>4</v>
      </c>
      <c r="I839">
        <v>82</v>
      </c>
      <c r="J839">
        <v>66</v>
      </c>
      <c r="K839">
        <v>251</v>
      </c>
      <c r="L839">
        <v>399</v>
      </c>
      <c r="M839">
        <v>2026</v>
      </c>
    </row>
    <row r="840" spans="1:13" x14ac:dyDescent="0.25">
      <c r="A840" t="s">
        <v>877</v>
      </c>
      <c r="B840" t="s">
        <v>13</v>
      </c>
      <c r="C840" s="1">
        <v>36697</v>
      </c>
      <c r="D840" s="8">
        <f ca="1">ROUND(YEARFRAC(NEET[[#This Row],[Date_of_Birth]],TODAY()),0)</f>
        <v>26</v>
      </c>
      <c r="E840" t="s">
        <v>53</v>
      </c>
      <c r="F840" t="s">
        <v>15</v>
      </c>
      <c r="G840" t="s">
        <v>29</v>
      </c>
      <c r="H840">
        <v>4</v>
      </c>
      <c r="I840">
        <v>148</v>
      </c>
      <c r="J840">
        <v>104</v>
      </c>
      <c r="K840">
        <v>145</v>
      </c>
      <c r="L840">
        <v>397</v>
      </c>
      <c r="M840">
        <v>2025</v>
      </c>
    </row>
    <row r="841" spans="1:13" x14ac:dyDescent="0.25">
      <c r="A841" t="s">
        <v>878</v>
      </c>
      <c r="B841" t="s">
        <v>13</v>
      </c>
      <c r="C841" s="1">
        <v>39311</v>
      </c>
      <c r="D841" s="8">
        <f ca="1">ROUND(YEARFRAC(NEET[[#This Row],[Date_of_Birth]],TODAY()),0)</f>
        <v>19</v>
      </c>
      <c r="E841" t="s">
        <v>18</v>
      </c>
      <c r="F841" t="s">
        <v>15</v>
      </c>
      <c r="G841" t="s">
        <v>16</v>
      </c>
      <c r="H841">
        <v>2</v>
      </c>
      <c r="I841">
        <v>119</v>
      </c>
      <c r="J841">
        <v>84</v>
      </c>
      <c r="K841">
        <v>359</v>
      </c>
      <c r="L841">
        <v>562</v>
      </c>
      <c r="M841">
        <v>2023</v>
      </c>
    </row>
    <row r="842" spans="1:13" x14ac:dyDescent="0.25">
      <c r="A842" t="s">
        <v>879</v>
      </c>
      <c r="B842" t="s">
        <v>20</v>
      </c>
      <c r="C842" s="1">
        <v>37757</v>
      </c>
      <c r="D842" s="8">
        <f ca="1">ROUND(YEARFRAC(NEET[[#This Row],[Date_of_Birth]],TODAY()),0)</f>
        <v>23</v>
      </c>
      <c r="E842" t="s">
        <v>14</v>
      </c>
      <c r="F842" t="s">
        <v>15</v>
      </c>
      <c r="G842" t="s">
        <v>16</v>
      </c>
      <c r="H842">
        <v>2</v>
      </c>
      <c r="I842">
        <v>131</v>
      </c>
      <c r="J842">
        <v>61</v>
      </c>
      <c r="K842">
        <v>131</v>
      </c>
      <c r="L842">
        <v>323</v>
      </c>
      <c r="M842">
        <v>2025</v>
      </c>
    </row>
    <row r="843" spans="1:13" x14ac:dyDescent="0.25">
      <c r="A843" t="s">
        <v>880</v>
      </c>
      <c r="B843" t="s">
        <v>20</v>
      </c>
      <c r="C843" s="1">
        <v>39319</v>
      </c>
      <c r="D843" s="8">
        <f ca="1">ROUND(YEARFRAC(NEET[[#This Row],[Date_of_Birth]],TODAY()),0)</f>
        <v>19</v>
      </c>
      <c r="E843" t="s">
        <v>46</v>
      </c>
      <c r="F843" t="s">
        <v>15</v>
      </c>
      <c r="G843" t="s">
        <v>22</v>
      </c>
      <c r="H843">
        <v>3</v>
      </c>
      <c r="I843">
        <v>96</v>
      </c>
      <c r="J843">
        <v>145</v>
      </c>
      <c r="K843">
        <v>199</v>
      </c>
      <c r="L843">
        <v>440</v>
      </c>
      <c r="M843">
        <v>2026</v>
      </c>
    </row>
    <row r="844" spans="1:13" x14ac:dyDescent="0.25">
      <c r="A844" t="s">
        <v>881</v>
      </c>
      <c r="B844" t="s">
        <v>13</v>
      </c>
      <c r="C844" s="1">
        <v>38981</v>
      </c>
      <c r="D844" s="8">
        <f ca="1">ROUND(YEARFRAC(NEET[[#This Row],[Date_of_Birth]],TODAY()),0)</f>
        <v>20</v>
      </c>
      <c r="E844" t="s">
        <v>46</v>
      </c>
      <c r="F844" t="s">
        <v>15</v>
      </c>
      <c r="G844" t="s">
        <v>22</v>
      </c>
      <c r="H844">
        <v>1</v>
      </c>
      <c r="I844">
        <v>34</v>
      </c>
      <c r="J844">
        <v>64</v>
      </c>
      <c r="K844">
        <v>61</v>
      </c>
      <c r="L844">
        <v>159</v>
      </c>
      <c r="M844">
        <v>2026</v>
      </c>
    </row>
    <row r="845" spans="1:13" x14ac:dyDescent="0.25">
      <c r="A845" t="s">
        <v>882</v>
      </c>
      <c r="B845" t="s">
        <v>13</v>
      </c>
      <c r="C845" s="1">
        <v>38802</v>
      </c>
      <c r="D845" s="8">
        <f ca="1">ROUND(YEARFRAC(NEET[[#This Row],[Date_of_Birth]],TODAY()),0)</f>
        <v>20</v>
      </c>
      <c r="E845" t="s">
        <v>48</v>
      </c>
      <c r="F845" t="s">
        <v>49</v>
      </c>
      <c r="G845" t="s">
        <v>34</v>
      </c>
      <c r="H845">
        <v>1</v>
      </c>
      <c r="I845">
        <v>155</v>
      </c>
      <c r="J845">
        <v>130</v>
      </c>
      <c r="K845">
        <v>335</v>
      </c>
      <c r="L845">
        <v>620</v>
      </c>
      <c r="M845">
        <v>2023</v>
      </c>
    </row>
    <row r="846" spans="1:13" x14ac:dyDescent="0.25">
      <c r="A846" t="s">
        <v>883</v>
      </c>
      <c r="B846" t="s">
        <v>13</v>
      </c>
      <c r="C846" s="1">
        <v>37971</v>
      </c>
      <c r="D846" s="8">
        <f ca="1">ROUND(YEARFRAC(NEET[[#This Row],[Date_of_Birth]],TODAY()),0)</f>
        <v>22</v>
      </c>
      <c r="E846" t="s">
        <v>31</v>
      </c>
      <c r="F846" t="s">
        <v>32</v>
      </c>
      <c r="G846" t="s">
        <v>34</v>
      </c>
      <c r="H846">
        <v>1</v>
      </c>
      <c r="I846">
        <v>126</v>
      </c>
      <c r="J846">
        <v>121</v>
      </c>
      <c r="K846">
        <v>258</v>
      </c>
      <c r="L846">
        <v>505</v>
      </c>
      <c r="M846">
        <v>2025</v>
      </c>
    </row>
    <row r="847" spans="1:13" x14ac:dyDescent="0.25">
      <c r="A847" t="s">
        <v>884</v>
      </c>
      <c r="B847" t="s">
        <v>20</v>
      </c>
      <c r="C847" s="1">
        <v>37316</v>
      </c>
      <c r="D847" s="8">
        <f ca="1">ROUND(YEARFRAC(NEET[[#This Row],[Date_of_Birth]],TODAY()),0)</f>
        <v>24</v>
      </c>
      <c r="E847" t="s">
        <v>73</v>
      </c>
      <c r="F847" t="s">
        <v>15</v>
      </c>
      <c r="G847" t="s">
        <v>25</v>
      </c>
      <c r="H847">
        <v>2</v>
      </c>
      <c r="I847">
        <v>32</v>
      </c>
      <c r="J847">
        <v>86</v>
      </c>
      <c r="K847">
        <v>70</v>
      </c>
      <c r="L847">
        <v>188</v>
      </c>
      <c r="M847">
        <v>2025</v>
      </c>
    </row>
    <row r="848" spans="1:13" x14ac:dyDescent="0.25">
      <c r="A848" t="s">
        <v>885</v>
      </c>
      <c r="B848" t="s">
        <v>20</v>
      </c>
      <c r="C848" s="1">
        <v>39466</v>
      </c>
      <c r="D848" s="8">
        <f ca="1">ROUND(YEARFRAC(NEET[[#This Row],[Date_of_Birth]],TODAY()),0)</f>
        <v>18</v>
      </c>
      <c r="E848" t="s">
        <v>62</v>
      </c>
      <c r="F848" t="s">
        <v>15</v>
      </c>
      <c r="G848" t="s">
        <v>16</v>
      </c>
      <c r="H848">
        <v>4</v>
      </c>
      <c r="I848">
        <v>89</v>
      </c>
      <c r="J848">
        <v>156</v>
      </c>
      <c r="K848">
        <v>245</v>
      </c>
      <c r="L848">
        <v>490</v>
      </c>
      <c r="M848">
        <v>2024</v>
      </c>
    </row>
    <row r="849" spans="1:13" x14ac:dyDescent="0.25">
      <c r="A849" t="s">
        <v>886</v>
      </c>
      <c r="B849" t="s">
        <v>13</v>
      </c>
      <c r="C849" s="1">
        <v>36555</v>
      </c>
      <c r="D849" s="8">
        <f ca="1">ROUND(YEARFRAC(NEET[[#This Row],[Date_of_Birth]],TODAY()),0)</f>
        <v>26</v>
      </c>
      <c r="E849" t="s">
        <v>62</v>
      </c>
      <c r="F849" t="s">
        <v>15</v>
      </c>
      <c r="G849" t="s">
        <v>16</v>
      </c>
      <c r="H849">
        <v>2</v>
      </c>
      <c r="I849">
        <v>131</v>
      </c>
      <c r="J849">
        <v>58</v>
      </c>
      <c r="K849">
        <v>202</v>
      </c>
      <c r="L849">
        <v>391</v>
      </c>
      <c r="M849">
        <v>2024</v>
      </c>
    </row>
    <row r="850" spans="1:13" x14ac:dyDescent="0.25">
      <c r="A850" t="s">
        <v>887</v>
      </c>
      <c r="B850" t="s">
        <v>13</v>
      </c>
      <c r="C850" s="1">
        <v>36793</v>
      </c>
      <c r="D850" s="8">
        <f ca="1">ROUND(YEARFRAC(NEET[[#This Row],[Date_of_Birth]],TODAY()),0)</f>
        <v>26</v>
      </c>
      <c r="E850" t="s">
        <v>27</v>
      </c>
      <c r="F850" t="s">
        <v>15</v>
      </c>
      <c r="G850" t="s">
        <v>22</v>
      </c>
      <c r="H850">
        <v>3</v>
      </c>
      <c r="I850">
        <v>62</v>
      </c>
      <c r="J850">
        <v>46</v>
      </c>
      <c r="K850">
        <v>125</v>
      </c>
      <c r="L850">
        <v>233</v>
      </c>
      <c r="M850">
        <v>2023</v>
      </c>
    </row>
    <row r="851" spans="1:13" x14ac:dyDescent="0.25">
      <c r="A851" t="s">
        <v>888</v>
      </c>
      <c r="B851" t="s">
        <v>13</v>
      </c>
      <c r="C851" s="1">
        <v>39364</v>
      </c>
      <c r="D851" s="8">
        <f ca="1">ROUND(YEARFRAC(NEET[[#This Row],[Date_of_Birth]],TODAY()),0)</f>
        <v>19</v>
      </c>
      <c r="E851" t="s">
        <v>21</v>
      </c>
      <c r="F851" t="s">
        <v>21</v>
      </c>
      <c r="G851" t="s">
        <v>25</v>
      </c>
      <c r="H851">
        <v>4</v>
      </c>
      <c r="I851">
        <v>166</v>
      </c>
      <c r="J851">
        <v>94</v>
      </c>
      <c r="K851">
        <v>346</v>
      </c>
      <c r="L851">
        <v>606</v>
      </c>
      <c r="M851">
        <v>2025</v>
      </c>
    </row>
    <row r="852" spans="1:13" x14ac:dyDescent="0.25">
      <c r="A852" t="s">
        <v>889</v>
      </c>
      <c r="B852" t="s">
        <v>20</v>
      </c>
      <c r="C852" s="1">
        <v>38297</v>
      </c>
      <c r="D852" s="8">
        <f ca="1">ROUND(YEARFRAC(NEET[[#This Row],[Date_of_Birth]],TODAY()),0)</f>
        <v>22</v>
      </c>
      <c r="E852" t="s">
        <v>31</v>
      </c>
      <c r="F852" t="s">
        <v>32</v>
      </c>
      <c r="G852" t="s">
        <v>16</v>
      </c>
      <c r="H852">
        <v>3</v>
      </c>
      <c r="I852">
        <v>134</v>
      </c>
      <c r="J852">
        <v>100</v>
      </c>
      <c r="K852">
        <v>122</v>
      </c>
      <c r="L852">
        <v>356</v>
      </c>
      <c r="M852">
        <v>2023</v>
      </c>
    </row>
    <row r="853" spans="1:13" x14ac:dyDescent="0.25">
      <c r="A853" t="s">
        <v>890</v>
      </c>
      <c r="B853" t="s">
        <v>20</v>
      </c>
      <c r="C853" s="1">
        <v>39480</v>
      </c>
      <c r="D853" s="8">
        <f ca="1">ROUND(YEARFRAC(NEET[[#This Row],[Date_of_Birth]],TODAY()),0)</f>
        <v>18</v>
      </c>
      <c r="E853" t="s">
        <v>62</v>
      </c>
      <c r="F853" t="s">
        <v>15</v>
      </c>
      <c r="G853" t="s">
        <v>34</v>
      </c>
      <c r="H853">
        <v>1</v>
      </c>
      <c r="I853">
        <v>42</v>
      </c>
      <c r="J853">
        <v>101</v>
      </c>
      <c r="K853">
        <v>275</v>
      </c>
      <c r="L853">
        <v>418</v>
      </c>
      <c r="M853">
        <v>2024</v>
      </c>
    </row>
    <row r="854" spans="1:13" x14ac:dyDescent="0.25">
      <c r="A854" t="s">
        <v>891</v>
      </c>
      <c r="B854" t="s">
        <v>13</v>
      </c>
      <c r="C854" s="1">
        <v>37896</v>
      </c>
      <c r="D854" s="8">
        <f ca="1">ROUND(YEARFRAC(NEET[[#This Row],[Date_of_Birth]],TODAY()),0)</f>
        <v>23</v>
      </c>
      <c r="E854" t="s">
        <v>14</v>
      </c>
      <c r="F854" t="s">
        <v>15</v>
      </c>
      <c r="G854" t="s">
        <v>22</v>
      </c>
      <c r="H854">
        <v>2</v>
      </c>
      <c r="I854">
        <v>176</v>
      </c>
      <c r="J854">
        <v>36</v>
      </c>
      <c r="K854">
        <v>175</v>
      </c>
      <c r="L854">
        <v>387</v>
      </c>
      <c r="M854">
        <v>2024</v>
      </c>
    </row>
    <row r="855" spans="1:13" x14ac:dyDescent="0.25">
      <c r="A855" t="s">
        <v>892</v>
      </c>
      <c r="B855" t="s">
        <v>20</v>
      </c>
      <c r="C855" s="1">
        <v>37874</v>
      </c>
      <c r="D855" s="8">
        <f ca="1">ROUND(YEARFRAC(NEET[[#This Row],[Date_of_Birth]],TODAY()),0)</f>
        <v>23</v>
      </c>
      <c r="E855" t="s">
        <v>24</v>
      </c>
      <c r="F855" t="s">
        <v>15</v>
      </c>
      <c r="G855" t="s">
        <v>16</v>
      </c>
      <c r="H855">
        <v>1</v>
      </c>
      <c r="I855">
        <v>46</v>
      </c>
      <c r="J855">
        <v>54</v>
      </c>
      <c r="K855">
        <v>74</v>
      </c>
      <c r="L855">
        <v>174</v>
      </c>
      <c r="M855">
        <v>2025</v>
      </c>
    </row>
    <row r="856" spans="1:13" x14ac:dyDescent="0.25">
      <c r="A856" t="s">
        <v>893</v>
      </c>
      <c r="B856" t="s">
        <v>13</v>
      </c>
      <c r="C856" s="1">
        <v>37551</v>
      </c>
      <c r="D856" s="8">
        <f ca="1">ROUND(YEARFRAC(NEET[[#This Row],[Date_of_Birth]],TODAY()),0)</f>
        <v>24</v>
      </c>
      <c r="E856" t="s">
        <v>62</v>
      </c>
      <c r="F856" t="s">
        <v>15</v>
      </c>
      <c r="G856" t="s">
        <v>16</v>
      </c>
      <c r="H856">
        <v>3</v>
      </c>
      <c r="I856">
        <v>57</v>
      </c>
      <c r="J856">
        <v>151</v>
      </c>
      <c r="K856">
        <v>182</v>
      </c>
      <c r="L856">
        <v>390</v>
      </c>
      <c r="M856">
        <v>2024</v>
      </c>
    </row>
    <row r="857" spans="1:13" x14ac:dyDescent="0.25">
      <c r="A857" t="s">
        <v>894</v>
      </c>
      <c r="B857" t="s">
        <v>13</v>
      </c>
      <c r="C857" s="1">
        <v>36824</v>
      </c>
      <c r="D857" s="8">
        <f ca="1">ROUND(YEARFRAC(NEET[[#This Row],[Date_of_Birth]],TODAY()),0)</f>
        <v>26</v>
      </c>
      <c r="E857" t="s">
        <v>69</v>
      </c>
      <c r="F857" t="s">
        <v>70</v>
      </c>
      <c r="G857" t="s">
        <v>25</v>
      </c>
      <c r="H857">
        <v>1</v>
      </c>
      <c r="I857">
        <v>142</v>
      </c>
      <c r="J857">
        <v>54</v>
      </c>
      <c r="K857">
        <v>288</v>
      </c>
      <c r="L857">
        <v>484</v>
      </c>
      <c r="M857">
        <v>2026</v>
      </c>
    </row>
    <row r="858" spans="1:13" x14ac:dyDescent="0.25">
      <c r="A858" t="s">
        <v>895</v>
      </c>
      <c r="B858" t="s">
        <v>13</v>
      </c>
      <c r="C858" s="1">
        <v>37809</v>
      </c>
      <c r="D858" s="8">
        <f ca="1">ROUND(YEARFRAC(NEET[[#This Row],[Date_of_Birth]],TODAY()),0)</f>
        <v>23</v>
      </c>
      <c r="E858" t="s">
        <v>48</v>
      </c>
      <c r="F858" t="s">
        <v>49</v>
      </c>
      <c r="G858" t="s">
        <v>16</v>
      </c>
      <c r="H858">
        <v>3</v>
      </c>
      <c r="I858">
        <v>46</v>
      </c>
      <c r="J858">
        <v>62</v>
      </c>
      <c r="K858">
        <v>91</v>
      </c>
      <c r="L858">
        <v>199</v>
      </c>
      <c r="M858">
        <v>2026</v>
      </c>
    </row>
    <row r="859" spans="1:13" x14ac:dyDescent="0.25">
      <c r="A859" t="s">
        <v>896</v>
      </c>
      <c r="B859" t="s">
        <v>20</v>
      </c>
      <c r="C859" s="1">
        <v>36795</v>
      </c>
      <c r="D859" s="8">
        <f ca="1">ROUND(YEARFRAC(NEET[[#This Row],[Date_of_Birth]],TODAY()),0)</f>
        <v>26</v>
      </c>
      <c r="E859" t="s">
        <v>14</v>
      </c>
      <c r="F859" t="s">
        <v>15</v>
      </c>
      <c r="G859" t="s">
        <v>25</v>
      </c>
      <c r="H859">
        <v>4</v>
      </c>
      <c r="I859">
        <v>44</v>
      </c>
      <c r="J859">
        <v>173</v>
      </c>
      <c r="K859">
        <v>86</v>
      </c>
      <c r="L859">
        <v>303</v>
      </c>
      <c r="M859">
        <v>2026</v>
      </c>
    </row>
    <row r="860" spans="1:13" x14ac:dyDescent="0.25">
      <c r="A860" t="s">
        <v>897</v>
      </c>
      <c r="B860" t="s">
        <v>20</v>
      </c>
      <c r="C860" s="1">
        <v>37480</v>
      </c>
      <c r="D860" s="8">
        <f ca="1">ROUND(YEARFRAC(NEET[[#This Row],[Date_of_Birth]],TODAY()),0)</f>
        <v>24</v>
      </c>
      <c r="E860" t="s">
        <v>31</v>
      </c>
      <c r="F860" t="s">
        <v>32</v>
      </c>
      <c r="G860" t="s">
        <v>29</v>
      </c>
      <c r="H860">
        <v>1</v>
      </c>
      <c r="I860">
        <v>32</v>
      </c>
      <c r="J860">
        <v>146</v>
      </c>
      <c r="K860">
        <v>256</v>
      </c>
      <c r="L860">
        <v>434</v>
      </c>
      <c r="M860">
        <v>2023</v>
      </c>
    </row>
    <row r="861" spans="1:13" x14ac:dyDescent="0.25">
      <c r="A861" t="s">
        <v>898</v>
      </c>
      <c r="B861" t="s">
        <v>13</v>
      </c>
      <c r="C861" s="1">
        <v>38385</v>
      </c>
      <c r="D861" s="8">
        <f ca="1">ROUND(YEARFRAC(NEET[[#This Row],[Date_of_Birth]],TODAY()),0)</f>
        <v>21</v>
      </c>
      <c r="E861" t="s">
        <v>42</v>
      </c>
      <c r="F861" t="s">
        <v>15</v>
      </c>
      <c r="G861" t="s">
        <v>16</v>
      </c>
      <c r="H861">
        <v>1</v>
      </c>
      <c r="I861">
        <v>114</v>
      </c>
      <c r="J861">
        <v>180</v>
      </c>
      <c r="K861">
        <v>158</v>
      </c>
      <c r="L861">
        <v>452</v>
      </c>
      <c r="M861">
        <v>2023</v>
      </c>
    </row>
    <row r="862" spans="1:13" x14ac:dyDescent="0.25">
      <c r="A862" t="s">
        <v>899</v>
      </c>
      <c r="B862" t="s">
        <v>20</v>
      </c>
      <c r="C862" s="1">
        <v>38954</v>
      </c>
      <c r="D862" s="8">
        <f ca="1">ROUND(YEARFRAC(NEET[[#This Row],[Date_of_Birth]],TODAY()),0)</f>
        <v>20</v>
      </c>
      <c r="E862" t="s">
        <v>69</v>
      </c>
      <c r="F862" t="s">
        <v>70</v>
      </c>
      <c r="G862" t="s">
        <v>34</v>
      </c>
      <c r="H862">
        <v>4</v>
      </c>
      <c r="I862">
        <v>79</v>
      </c>
      <c r="J862">
        <v>176</v>
      </c>
      <c r="K862">
        <v>124</v>
      </c>
      <c r="L862">
        <v>379</v>
      </c>
      <c r="M862">
        <v>2026</v>
      </c>
    </row>
    <row r="863" spans="1:13" x14ac:dyDescent="0.25">
      <c r="A863" t="s">
        <v>900</v>
      </c>
      <c r="B863" t="s">
        <v>20</v>
      </c>
      <c r="C863" s="1">
        <v>37287</v>
      </c>
      <c r="D863" s="8">
        <f ca="1">ROUND(YEARFRAC(NEET[[#This Row],[Date_of_Birth]],TODAY()),0)</f>
        <v>24</v>
      </c>
      <c r="E863" t="s">
        <v>62</v>
      </c>
      <c r="F863" t="s">
        <v>15</v>
      </c>
      <c r="G863" t="s">
        <v>16</v>
      </c>
      <c r="H863">
        <v>4</v>
      </c>
      <c r="I863">
        <v>65</v>
      </c>
      <c r="J863">
        <v>41</v>
      </c>
      <c r="K863">
        <v>90</v>
      </c>
      <c r="L863">
        <v>196</v>
      </c>
      <c r="M863">
        <v>2025</v>
      </c>
    </row>
    <row r="864" spans="1:13" x14ac:dyDescent="0.25">
      <c r="A864" t="s">
        <v>901</v>
      </c>
      <c r="B864" t="s">
        <v>20</v>
      </c>
      <c r="C864" s="1">
        <v>37800</v>
      </c>
      <c r="D864" s="8">
        <f ca="1">ROUND(YEARFRAC(NEET[[#This Row],[Date_of_Birth]],TODAY()),0)</f>
        <v>23</v>
      </c>
      <c r="E864" t="s">
        <v>27</v>
      </c>
      <c r="F864" t="s">
        <v>15</v>
      </c>
      <c r="G864" t="s">
        <v>29</v>
      </c>
      <c r="H864">
        <v>3</v>
      </c>
      <c r="I864">
        <v>168</v>
      </c>
      <c r="J864">
        <v>67</v>
      </c>
      <c r="K864">
        <v>135</v>
      </c>
      <c r="L864">
        <v>370</v>
      </c>
      <c r="M864">
        <v>2025</v>
      </c>
    </row>
    <row r="865" spans="1:13" x14ac:dyDescent="0.25">
      <c r="A865" t="s">
        <v>902</v>
      </c>
      <c r="B865" t="s">
        <v>13</v>
      </c>
      <c r="C865" s="1">
        <v>36559</v>
      </c>
      <c r="D865" s="8">
        <f ca="1">ROUND(YEARFRAC(NEET[[#This Row],[Date_of_Birth]],TODAY()),0)</f>
        <v>26</v>
      </c>
      <c r="E865" t="s">
        <v>42</v>
      </c>
      <c r="F865" t="s">
        <v>15</v>
      </c>
      <c r="G865" t="s">
        <v>29</v>
      </c>
      <c r="H865">
        <v>4</v>
      </c>
      <c r="I865">
        <v>180</v>
      </c>
      <c r="J865">
        <v>67</v>
      </c>
      <c r="K865">
        <v>89</v>
      </c>
      <c r="L865">
        <v>336</v>
      </c>
      <c r="M865">
        <v>2024</v>
      </c>
    </row>
    <row r="866" spans="1:13" x14ac:dyDescent="0.25">
      <c r="A866" t="s">
        <v>903</v>
      </c>
      <c r="B866" t="s">
        <v>20</v>
      </c>
      <c r="C866" s="1">
        <v>37346</v>
      </c>
      <c r="D866" s="8">
        <f ca="1">ROUND(YEARFRAC(NEET[[#This Row],[Date_of_Birth]],TODAY()),0)</f>
        <v>24</v>
      </c>
      <c r="E866" t="s">
        <v>21</v>
      </c>
      <c r="F866" t="s">
        <v>21</v>
      </c>
      <c r="G866" t="s">
        <v>16</v>
      </c>
      <c r="H866">
        <v>4</v>
      </c>
      <c r="I866">
        <v>81</v>
      </c>
      <c r="J866">
        <v>47</v>
      </c>
      <c r="K866">
        <v>234</v>
      </c>
      <c r="L866">
        <v>362</v>
      </c>
      <c r="M866">
        <v>2025</v>
      </c>
    </row>
    <row r="867" spans="1:13" x14ac:dyDescent="0.25">
      <c r="A867" t="s">
        <v>904</v>
      </c>
      <c r="B867" t="s">
        <v>13</v>
      </c>
      <c r="C867" s="1">
        <v>38895</v>
      </c>
      <c r="D867" s="8">
        <f ca="1">ROUND(YEARFRAC(NEET[[#This Row],[Date_of_Birth]],TODAY()),0)</f>
        <v>20</v>
      </c>
      <c r="E867" t="s">
        <v>27</v>
      </c>
      <c r="F867" t="s">
        <v>15</v>
      </c>
      <c r="G867" t="s">
        <v>34</v>
      </c>
      <c r="H867">
        <v>1</v>
      </c>
      <c r="I867">
        <v>115</v>
      </c>
      <c r="J867">
        <v>106</v>
      </c>
      <c r="K867">
        <v>274</v>
      </c>
      <c r="L867">
        <v>495</v>
      </c>
      <c r="M867">
        <v>2023</v>
      </c>
    </row>
    <row r="868" spans="1:13" x14ac:dyDescent="0.25">
      <c r="A868" t="s">
        <v>905</v>
      </c>
      <c r="B868" t="s">
        <v>13</v>
      </c>
      <c r="C868" s="1">
        <v>38557</v>
      </c>
      <c r="D868" s="8">
        <f ca="1">ROUND(YEARFRAC(NEET[[#This Row],[Date_of_Birth]],TODAY()),0)</f>
        <v>21</v>
      </c>
      <c r="E868" t="s">
        <v>62</v>
      </c>
      <c r="F868" t="s">
        <v>15</v>
      </c>
      <c r="G868" t="s">
        <v>34</v>
      </c>
      <c r="H868">
        <v>2</v>
      </c>
      <c r="I868">
        <v>30</v>
      </c>
      <c r="J868">
        <v>87</v>
      </c>
      <c r="K868">
        <v>177</v>
      </c>
      <c r="L868">
        <v>294</v>
      </c>
      <c r="M868">
        <v>2025</v>
      </c>
    </row>
    <row r="869" spans="1:13" x14ac:dyDescent="0.25">
      <c r="A869" t="s">
        <v>906</v>
      </c>
      <c r="B869" t="s">
        <v>20</v>
      </c>
      <c r="C869" s="1">
        <v>39557</v>
      </c>
      <c r="D869" s="8">
        <f ca="1">ROUND(YEARFRAC(NEET[[#This Row],[Date_of_Birth]],TODAY()),0)</f>
        <v>18</v>
      </c>
      <c r="E869" t="s">
        <v>18</v>
      </c>
      <c r="F869" t="s">
        <v>15</v>
      </c>
      <c r="G869" t="s">
        <v>25</v>
      </c>
      <c r="H869">
        <v>1</v>
      </c>
      <c r="I869">
        <v>82</v>
      </c>
      <c r="J869">
        <v>132</v>
      </c>
      <c r="K869">
        <v>154</v>
      </c>
      <c r="L869">
        <v>368</v>
      </c>
      <c r="M869">
        <v>2025</v>
      </c>
    </row>
    <row r="870" spans="1:13" x14ac:dyDescent="0.25">
      <c r="A870" t="s">
        <v>907</v>
      </c>
      <c r="B870" t="s">
        <v>13</v>
      </c>
      <c r="C870" s="1">
        <v>36648</v>
      </c>
      <c r="D870" s="8">
        <f ca="1">ROUND(YEARFRAC(NEET[[#This Row],[Date_of_Birth]],TODAY()),0)</f>
        <v>26</v>
      </c>
      <c r="E870" t="s">
        <v>42</v>
      </c>
      <c r="F870" t="s">
        <v>15</v>
      </c>
      <c r="G870" t="s">
        <v>25</v>
      </c>
      <c r="H870">
        <v>3</v>
      </c>
      <c r="I870">
        <v>59</v>
      </c>
      <c r="J870">
        <v>66</v>
      </c>
      <c r="K870">
        <v>208</v>
      </c>
      <c r="L870">
        <v>333</v>
      </c>
      <c r="M870">
        <v>2023</v>
      </c>
    </row>
    <row r="871" spans="1:13" x14ac:dyDescent="0.25">
      <c r="A871" t="s">
        <v>908</v>
      </c>
      <c r="B871" t="s">
        <v>13</v>
      </c>
      <c r="C871" s="1">
        <v>37341</v>
      </c>
      <c r="D871" s="8">
        <f ca="1">ROUND(YEARFRAC(NEET[[#This Row],[Date_of_Birth]],TODAY()),0)</f>
        <v>24</v>
      </c>
      <c r="E871" t="s">
        <v>62</v>
      </c>
      <c r="F871" t="s">
        <v>15</v>
      </c>
      <c r="G871" t="s">
        <v>16</v>
      </c>
      <c r="H871">
        <v>3</v>
      </c>
      <c r="I871">
        <v>102</v>
      </c>
      <c r="J871">
        <v>74</v>
      </c>
      <c r="K871">
        <v>172</v>
      </c>
      <c r="L871">
        <v>348</v>
      </c>
      <c r="M871">
        <v>2024</v>
      </c>
    </row>
    <row r="872" spans="1:13" x14ac:dyDescent="0.25">
      <c r="A872" t="s">
        <v>909</v>
      </c>
      <c r="B872" t="s">
        <v>13</v>
      </c>
      <c r="C872" s="1">
        <v>37257</v>
      </c>
      <c r="D872" s="8">
        <f ca="1">ROUND(YEARFRAC(NEET[[#This Row],[Date_of_Birth]],TODAY()),0)</f>
        <v>24</v>
      </c>
      <c r="E872" t="s">
        <v>62</v>
      </c>
      <c r="F872" t="s">
        <v>15</v>
      </c>
      <c r="G872" t="s">
        <v>34</v>
      </c>
      <c r="H872">
        <v>2</v>
      </c>
      <c r="I872">
        <v>35</v>
      </c>
      <c r="J872">
        <v>75</v>
      </c>
      <c r="K872">
        <v>194</v>
      </c>
      <c r="L872">
        <v>304</v>
      </c>
      <c r="M872">
        <v>2023</v>
      </c>
    </row>
    <row r="873" spans="1:13" x14ac:dyDescent="0.25">
      <c r="A873" t="s">
        <v>910</v>
      </c>
      <c r="B873" t="s">
        <v>20</v>
      </c>
      <c r="C873" s="1">
        <v>37912</v>
      </c>
      <c r="D873" s="8">
        <f ca="1">ROUND(YEARFRAC(NEET[[#This Row],[Date_of_Birth]],TODAY()),0)</f>
        <v>23</v>
      </c>
      <c r="E873" t="s">
        <v>48</v>
      </c>
      <c r="F873" t="s">
        <v>49</v>
      </c>
      <c r="G873" t="s">
        <v>22</v>
      </c>
      <c r="H873">
        <v>3</v>
      </c>
      <c r="I873">
        <v>83</v>
      </c>
      <c r="J873">
        <v>108</v>
      </c>
      <c r="K873">
        <v>293</v>
      </c>
      <c r="L873">
        <v>484</v>
      </c>
      <c r="M873">
        <v>2026</v>
      </c>
    </row>
    <row r="874" spans="1:13" x14ac:dyDescent="0.25">
      <c r="A874" t="s">
        <v>911</v>
      </c>
      <c r="B874" t="s">
        <v>13</v>
      </c>
      <c r="C874" s="1">
        <v>39438</v>
      </c>
      <c r="D874" s="8">
        <f ca="1">ROUND(YEARFRAC(NEET[[#This Row],[Date_of_Birth]],TODAY()),0)</f>
        <v>18</v>
      </c>
      <c r="E874" t="s">
        <v>14</v>
      </c>
      <c r="F874" t="s">
        <v>15</v>
      </c>
      <c r="G874" t="s">
        <v>29</v>
      </c>
      <c r="H874">
        <v>4</v>
      </c>
      <c r="I874">
        <v>60</v>
      </c>
      <c r="J874">
        <v>66</v>
      </c>
      <c r="K874">
        <v>126</v>
      </c>
      <c r="L874">
        <v>252</v>
      </c>
      <c r="M874">
        <v>2025</v>
      </c>
    </row>
    <row r="875" spans="1:13" x14ac:dyDescent="0.25">
      <c r="A875" t="s">
        <v>912</v>
      </c>
      <c r="B875" t="s">
        <v>20</v>
      </c>
      <c r="C875" s="1">
        <v>38981</v>
      </c>
      <c r="D875" s="8">
        <f ca="1">ROUND(YEARFRAC(NEET[[#This Row],[Date_of_Birth]],TODAY()),0)</f>
        <v>20</v>
      </c>
      <c r="E875" t="s">
        <v>18</v>
      </c>
      <c r="F875" t="s">
        <v>15</v>
      </c>
      <c r="G875" t="s">
        <v>29</v>
      </c>
      <c r="H875">
        <v>2</v>
      </c>
      <c r="I875">
        <v>92</v>
      </c>
      <c r="J875">
        <v>41</v>
      </c>
      <c r="K875">
        <v>360</v>
      </c>
      <c r="L875">
        <v>493</v>
      </c>
      <c r="M875">
        <v>2024</v>
      </c>
    </row>
    <row r="876" spans="1:13" x14ac:dyDescent="0.25">
      <c r="A876" t="s">
        <v>913</v>
      </c>
      <c r="B876" t="s">
        <v>13</v>
      </c>
      <c r="C876" s="1">
        <v>36744</v>
      </c>
      <c r="D876" s="8">
        <f ca="1">ROUND(YEARFRAC(NEET[[#This Row],[Date_of_Birth]],TODAY()),0)</f>
        <v>26</v>
      </c>
      <c r="E876" t="s">
        <v>21</v>
      </c>
      <c r="F876" t="s">
        <v>21</v>
      </c>
      <c r="G876" t="s">
        <v>34</v>
      </c>
      <c r="H876">
        <v>1</v>
      </c>
      <c r="I876">
        <v>101</v>
      </c>
      <c r="J876">
        <v>62</v>
      </c>
      <c r="K876">
        <v>320</v>
      </c>
      <c r="L876">
        <v>483</v>
      </c>
      <c r="M876">
        <v>2023</v>
      </c>
    </row>
    <row r="877" spans="1:13" x14ac:dyDescent="0.25">
      <c r="A877" t="s">
        <v>914</v>
      </c>
      <c r="B877" t="s">
        <v>20</v>
      </c>
      <c r="C877" s="1">
        <v>37211</v>
      </c>
      <c r="D877" s="8">
        <f ca="1">ROUND(YEARFRAC(NEET[[#This Row],[Date_of_Birth]],TODAY()),0)</f>
        <v>25</v>
      </c>
      <c r="E877" t="s">
        <v>42</v>
      </c>
      <c r="F877" t="s">
        <v>15</v>
      </c>
      <c r="G877" t="s">
        <v>29</v>
      </c>
      <c r="H877">
        <v>2</v>
      </c>
      <c r="I877">
        <v>129</v>
      </c>
      <c r="J877">
        <v>160</v>
      </c>
      <c r="K877">
        <v>251</v>
      </c>
      <c r="L877">
        <v>540</v>
      </c>
      <c r="M877">
        <v>2025</v>
      </c>
    </row>
    <row r="878" spans="1:13" x14ac:dyDescent="0.25">
      <c r="A878" t="s">
        <v>915</v>
      </c>
      <c r="B878" t="s">
        <v>20</v>
      </c>
      <c r="C878" s="1">
        <v>38678</v>
      </c>
      <c r="D878" s="8">
        <f ca="1">ROUND(YEARFRAC(NEET[[#This Row],[Date_of_Birth]],TODAY()),0)</f>
        <v>20</v>
      </c>
      <c r="E878" t="s">
        <v>36</v>
      </c>
      <c r="F878" t="s">
        <v>37</v>
      </c>
      <c r="G878" t="s">
        <v>22</v>
      </c>
      <c r="H878">
        <v>1</v>
      </c>
      <c r="I878">
        <v>153</v>
      </c>
      <c r="J878">
        <v>156</v>
      </c>
      <c r="K878">
        <v>302</v>
      </c>
      <c r="L878">
        <v>611</v>
      </c>
      <c r="M878">
        <v>2024</v>
      </c>
    </row>
    <row r="879" spans="1:13" x14ac:dyDescent="0.25">
      <c r="A879" t="s">
        <v>916</v>
      </c>
      <c r="B879" t="s">
        <v>20</v>
      </c>
      <c r="C879" s="1">
        <v>37357</v>
      </c>
      <c r="D879" s="8">
        <f ca="1">ROUND(YEARFRAC(NEET[[#This Row],[Date_of_Birth]],TODAY()),0)</f>
        <v>24</v>
      </c>
      <c r="E879" t="s">
        <v>73</v>
      </c>
      <c r="F879" t="s">
        <v>15</v>
      </c>
      <c r="G879" t="s">
        <v>16</v>
      </c>
      <c r="H879">
        <v>4</v>
      </c>
      <c r="I879">
        <v>90</v>
      </c>
      <c r="J879">
        <v>131</v>
      </c>
      <c r="K879">
        <v>171</v>
      </c>
      <c r="L879">
        <v>392</v>
      </c>
      <c r="M879">
        <v>2024</v>
      </c>
    </row>
    <row r="880" spans="1:13" x14ac:dyDescent="0.25">
      <c r="A880" t="s">
        <v>917</v>
      </c>
      <c r="B880" t="s">
        <v>20</v>
      </c>
      <c r="C880" s="1">
        <v>38058</v>
      </c>
      <c r="D880" s="8">
        <f ca="1">ROUND(YEARFRAC(NEET[[#This Row],[Date_of_Birth]],TODAY()),0)</f>
        <v>22</v>
      </c>
      <c r="E880" t="s">
        <v>24</v>
      </c>
      <c r="F880" t="s">
        <v>15</v>
      </c>
      <c r="G880" t="s">
        <v>16</v>
      </c>
      <c r="H880">
        <v>4</v>
      </c>
      <c r="I880">
        <v>170</v>
      </c>
      <c r="J880">
        <v>51</v>
      </c>
      <c r="K880">
        <v>128</v>
      </c>
      <c r="L880">
        <v>349</v>
      </c>
      <c r="M880">
        <v>2025</v>
      </c>
    </row>
    <row r="881" spans="1:13" x14ac:dyDescent="0.25">
      <c r="A881" t="s">
        <v>918</v>
      </c>
      <c r="B881" t="s">
        <v>20</v>
      </c>
      <c r="C881" s="1">
        <v>37468</v>
      </c>
      <c r="D881" s="8">
        <f ca="1">ROUND(YEARFRAC(NEET[[#This Row],[Date_of_Birth]],TODAY()),0)</f>
        <v>24</v>
      </c>
      <c r="E881" t="s">
        <v>27</v>
      </c>
      <c r="F881" t="s">
        <v>15</v>
      </c>
      <c r="G881" t="s">
        <v>34</v>
      </c>
      <c r="H881">
        <v>4</v>
      </c>
      <c r="I881">
        <v>40</v>
      </c>
      <c r="J881">
        <v>149</v>
      </c>
      <c r="K881">
        <v>322</v>
      </c>
      <c r="L881">
        <v>511</v>
      </c>
      <c r="M881">
        <v>2026</v>
      </c>
    </row>
    <row r="882" spans="1:13" x14ac:dyDescent="0.25">
      <c r="A882" t="s">
        <v>919</v>
      </c>
      <c r="B882" t="s">
        <v>13</v>
      </c>
      <c r="C882" s="1">
        <v>38201</v>
      </c>
      <c r="D882" s="8">
        <f ca="1">ROUND(YEARFRAC(NEET[[#This Row],[Date_of_Birth]],TODAY()),0)</f>
        <v>22</v>
      </c>
      <c r="E882" t="s">
        <v>46</v>
      </c>
      <c r="F882" t="s">
        <v>15</v>
      </c>
      <c r="G882" t="s">
        <v>34</v>
      </c>
      <c r="H882">
        <v>2</v>
      </c>
      <c r="I882">
        <v>157</v>
      </c>
      <c r="J882">
        <v>111</v>
      </c>
      <c r="K882">
        <v>199</v>
      </c>
      <c r="L882">
        <v>467</v>
      </c>
      <c r="M882">
        <v>2024</v>
      </c>
    </row>
    <row r="883" spans="1:13" x14ac:dyDescent="0.25">
      <c r="A883" t="s">
        <v>920</v>
      </c>
      <c r="B883" t="s">
        <v>13</v>
      </c>
      <c r="C883" s="1">
        <v>37613</v>
      </c>
      <c r="D883" s="8">
        <f ca="1">ROUND(YEARFRAC(NEET[[#This Row],[Date_of_Birth]],TODAY()),0)</f>
        <v>23</v>
      </c>
      <c r="E883" t="s">
        <v>21</v>
      </c>
      <c r="F883" t="s">
        <v>21</v>
      </c>
      <c r="G883" t="s">
        <v>22</v>
      </c>
      <c r="H883">
        <v>3</v>
      </c>
      <c r="I883">
        <v>49</v>
      </c>
      <c r="J883">
        <v>121</v>
      </c>
      <c r="K883">
        <v>102</v>
      </c>
      <c r="L883">
        <v>272</v>
      </c>
      <c r="M883">
        <v>2023</v>
      </c>
    </row>
    <row r="884" spans="1:13" x14ac:dyDescent="0.25">
      <c r="A884" t="s">
        <v>921</v>
      </c>
      <c r="B884" t="s">
        <v>20</v>
      </c>
      <c r="C884" s="1">
        <v>37011</v>
      </c>
      <c r="D884" s="8">
        <f ca="1">ROUND(YEARFRAC(NEET[[#This Row],[Date_of_Birth]],TODAY()),0)</f>
        <v>25</v>
      </c>
      <c r="E884" t="s">
        <v>14</v>
      </c>
      <c r="F884" t="s">
        <v>15</v>
      </c>
      <c r="G884" t="s">
        <v>29</v>
      </c>
      <c r="H884">
        <v>2</v>
      </c>
      <c r="I884">
        <v>122</v>
      </c>
      <c r="J884">
        <v>39</v>
      </c>
      <c r="K884">
        <v>339</v>
      </c>
      <c r="L884">
        <v>500</v>
      </c>
      <c r="M884">
        <v>2025</v>
      </c>
    </row>
    <row r="885" spans="1:13" x14ac:dyDescent="0.25">
      <c r="A885" t="s">
        <v>922</v>
      </c>
      <c r="B885" t="s">
        <v>13</v>
      </c>
      <c r="C885" s="1">
        <v>37765</v>
      </c>
      <c r="D885" s="8">
        <f ca="1">ROUND(YEARFRAC(NEET[[#This Row],[Date_of_Birth]],TODAY()),0)</f>
        <v>23</v>
      </c>
      <c r="E885" t="s">
        <v>36</v>
      </c>
      <c r="F885" t="s">
        <v>37</v>
      </c>
      <c r="G885" t="s">
        <v>29</v>
      </c>
      <c r="H885">
        <v>3</v>
      </c>
      <c r="I885">
        <v>100</v>
      </c>
      <c r="J885">
        <v>78</v>
      </c>
      <c r="K885">
        <v>130</v>
      </c>
      <c r="L885">
        <v>308</v>
      </c>
      <c r="M885">
        <v>2025</v>
      </c>
    </row>
    <row r="886" spans="1:13" x14ac:dyDescent="0.25">
      <c r="A886" t="s">
        <v>923</v>
      </c>
      <c r="B886" t="s">
        <v>13</v>
      </c>
      <c r="C886" s="1">
        <v>39733</v>
      </c>
      <c r="D886" s="8">
        <f ca="1">ROUND(YEARFRAC(NEET[[#This Row],[Date_of_Birth]],TODAY()),0)</f>
        <v>18</v>
      </c>
      <c r="E886" t="s">
        <v>18</v>
      </c>
      <c r="F886" t="s">
        <v>15</v>
      </c>
      <c r="G886" t="s">
        <v>22</v>
      </c>
      <c r="H886">
        <v>4</v>
      </c>
      <c r="I886">
        <v>133</v>
      </c>
      <c r="J886">
        <v>178</v>
      </c>
      <c r="K886">
        <v>66</v>
      </c>
      <c r="L886">
        <v>377</v>
      </c>
      <c r="M886">
        <v>2024</v>
      </c>
    </row>
    <row r="887" spans="1:13" x14ac:dyDescent="0.25">
      <c r="A887" t="s">
        <v>924</v>
      </c>
      <c r="B887" t="s">
        <v>20</v>
      </c>
      <c r="C887" s="1">
        <v>39488</v>
      </c>
      <c r="D887" s="8">
        <f ca="1">ROUND(YEARFRAC(NEET[[#This Row],[Date_of_Birth]],TODAY()),0)</f>
        <v>18</v>
      </c>
      <c r="E887" t="s">
        <v>36</v>
      </c>
      <c r="F887" t="s">
        <v>37</v>
      </c>
      <c r="G887" t="s">
        <v>25</v>
      </c>
      <c r="H887">
        <v>3</v>
      </c>
      <c r="I887">
        <v>83</v>
      </c>
      <c r="J887">
        <v>151</v>
      </c>
      <c r="K887">
        <v>179</v>
      </c>
      <c r="L887">
        <v>413</v>
      </c>
      <c r="M887">
        <v>2025</v>
      </c>
    </row>
    <row r="888" spans="1:13" x14ac:dyDescent="0.25">
      <c r="A888" t="s">
        <v>925</v>
      </c>
      <c r="B888" t="s">
        <v>13</v>
      </c>
      <c r="C888" s="1">
        <v>37295</v>
      </c>
      <c r="D888" s="8">
        <f ca="1">ROUND(YEARFRAC(NEET[[#This Row],[Date_of_Birth]],TODAY()),0)</f>
        <v>24</v>
      </c>
      <c r="E888" t="s">
        <v>18</v>
      </c>
      <c r="F888" t="s">
        <v>15</v>
      </c>
      <c r="G888" t="s">
        <v>22</v>
      </c>
      <c r="H888">
        <v>3</v>
      </c>
      <c r="I888">
        <v>136</v>
      </c>
      <c r="J888">
        <v>83</v>
      </c>
      <c r="K888">
        <v>284</v>
      </c>
      <c r="L888">
        <v>503</v>
      </c>
      <c r="M888">
        <v>2024</v>
      </c>
    </row>
    <row r="889" spans="1:13" x14ac:dyDescent="0.25">
      <c r="A889" t="s">
        <v>926</v>
      </c>
      <c r="B889" t="s">
        <v>13</v>
      </c>
      <c r="C889" s="1">
        <v>37777</v>
      </c>
      <c r="D889" s="8">
        <f ca="1">ROUND(YEARFRAC(NEET[[#This Row],[Date_of_Birth]],TODAY()),0)</f>
        <v>23</v>
      </c>
      <c r="E889" t="s">
        <v>36</v>
      </c>
      <c r="F889" t="s">
        <v>37</v>
      </c>
      <c r="G889" t="s">
        <v>34</v>
      </c>
      <c r="H889">
        <v>4</v>
      </c>
      <c r="I889">
        <v>32</v>
      </c>
      <c r="J889">
        <v>157</v>
      </c>
      <c r="K889">
        <v>241</v>
      </c>
      <c r="L889">
        <v>430</v>
      </c>
      <c r="M889">
        <v>2026</v>
      </c>
    </row>
    <row r="890" spans="1:13" x14ac:dyDescent="0.25">
      <c r="A890" t="s">
        <v>927</v>
      </c>
      <c r="B890" t="s">
        <v>13</v>
      </c>
      <c r="C890" s="1">
        <v>39650</v>
      </c>
      <c r="D890" s="8">
        <f ca="1">ROUND(YEARFRAC(NEET[[#This Row],[Date_of_Birth]],TODAY()),0)</f>
        <v>18</v>
      </c>
      <c r="E890" t="s">
        <v>69</v>
      </c>
      <c r="F890" t="s">
        <v>70</v>
      </c>
      <c r="G890" t="s">
        <v>22</v>
      </c>
      <c r="H890">
        <v>2</v>
      </c>
      <c r="I890">
        <v>167</v>
      </c>
      <c r="J890">
        <v>106</v>
      </c>
      <c r="K890">
        <v>226</v>
      </c>
      <c r="L890">
        <v>499</v>
      </c>
      <c r="M890">
        <v>2025</v>
      </c>
    </row>
    <row r="891" spans="1:13" x14ac:dyDescent="0.25">
      <c r="A891" t="s">
        <v>928</v>
      </c>
      <c r="B891" t="s">
        <v>20</v>
      </c>
      <c r="C891" s="1">
        <v>38853</v>
      </c>
      <c r="D891" s="8">
        <f ca="1">ROUND(YEARFRAC(NEET[[#This Row],[Date_of_Birth]],TODAY()),0)</f>
        <v>20</v>
      </c>
      <c r="E891" t="s">
        <v>21</v>
      </c>
      <c r="F891" t="s">
        <v>21</v>
      </c>
      <c r="G891" t="s">
        <v>16</v>
      </c>
      <c r="H891">
        <v>1</v>
      </c>
      <c r="I891">
        <v>176</v>
      </c>
      <c r="J891">
        <v>130</v>
      </c>
      <c r="K891">
        <v>255</v>
      </c>
      <c r="L891">
        <v>561</v>
      </c>
      <c r="M891">
        <v>2026</v>
      </c>
    </row>
    <row r="892" spans="1:13" x14ac:dyDescent="0.25">
      <c r="A892" t="s">
        <v>929</v>
      </c>
      <c r="B892" t="s">
        <v>20</v>
      </c>
      <c r="C892" s="1">
        <v>37297</v>
      </c>
      <c r="D892" s="8">
        <f ca="1">ROUND(YEARFRAC(NEET[[#This Row],[Date_of_Birth]],TODAY()),0)</f>
        <v>24</v>
      </c>
      <c r="E892" t="s">
        <v>73</v>
      </c>
      <c r="F892" t="s">
        <v>15</v>
      </c>
      <c r="G892" t="s">
        <v>22</v>
      </c>
      <c r="H892">
        <v>1</v>
      </c>
      <c r="I892">
        <v>57</v>
      </c>
      <c r="J892">
        <v>114</v>
      </c>
      <c r="K892">
        <v>351</v>
      </c>
      <c r="L892">
        <v>522</v>
      </c>
      <c r="M892">
        <v>2023</v>
      </c>
    </row>
    <row r="893" spans="1:13" x14ac:dyDescent="0.25">
      <c r="A893" t="s">
        <v>930</v>
      </c>
      <c r="B893" t="s">
        <v>13</v>
      </c>
      <c r="C893" s="1">
        <v>39290</v>
      </c>
      <c r="D893" s="8">
        <f ca="1">ROUND(YEARFRAC(NEET[[#This Row],[Date_of_Birth]],TODAY()),0)</f>
        <v>19</v>
      </c>
      <c r="E893" t="s">
        <v>42</v>
      </c>
      <c r="F893" t="s">
        <v>15</v>
      </c>
      <c r="G893" t="s">
        <v>25</v>
      </c>
      <c r="H893">
        <v>2</v>
      </c>
      <c r="I893">
        <v>75</v>
      </c>
      <c r="J893">
        <v>38</v>
      </c>
      <c r="K893">
        <v>310</v>
      </c>
      <c r="L893">
        <v>423</v>
      </c>
      <c r="M893">
        <v>2026</v>
      </c>
    </row>
    <row r="894" spans="1:13" x14ac:dyDescent="0.25">
      <c r="A894" t="s">
        <v>931</v>
      </c>
      <c r="B894" t="s">
        <v>20</v>
      </c>
      <c r="C894" s="1">
        <v>37688</v>
      </c>
      <c r="D894" s="8">
        <f ca="1">ROUND(YEARFRAC(NEET[[#This Row],[Date_of_Birth]],TODAY()),0)</f>
        <v>23</v>
      </c>
      <c r="E894" t="s">
        <v>62</v>
      </c>
      <c r="F894" t="s">
        <v>15</v>
      </c>
      <c r="G894" t="s">
        <v>29</v>
      </c>
      <c r="H894">
        <v>1</v>
      </c>
      <c r="I894">
        <v>89</v>
      </c>
      <c r="J894">
        <v>104</v>
      </c>
      <c r="K894">
        <v>328</v>
      </c>
      <c r="L894">
        <v>521</v>
      </c>
      <c r="M894">
        <v>2023</v>
      </c>
    </row>
    <row r="895" spans="1:13" x14ac:dyDescent="0.25">
      <c r="A895" t="s">
        <v>932</v>
      </c>
      <c r="B895" t="s">
        <v>13</v>
      </c>
      <c r="C895" s="1">
        <v>37229</v>
      </c>
      <c r="D895" s="8">
        <f ca="1">ROUND(YEARFRAC(NEET[[#This Row],[Date_of_Birth]],TODAY()),0)</f>
        <v>24</v>
      </c>
      <c r="E895" t="s">
        <v>46</v>
      </c>
      <c r="F895" t="s">
        <v>15</v>
      </c>
      <c r="G895" t="s">
        <v>34</v>
      </c>
      <c r="H895">
        <v>4</v>
      </c>
      <c r="I895">
        <v>135</v>
      </c>
      <c r="J895">
        <v>130</v>
      </c>
      <c r="K895">
        <v>140</v>
      </c>
      <c r="L895">
        <v>405</v>
      </c>
      <c r="M895">
        <v>2023</v>
      </c>
    </row>
    <row r="896" spans="1:13" x14ac:dyDescent="0.25">
      <c r="A896" t="s">
        <v>933</v>
      </c>
      <c r="B896" t="s">
        <v>20</v>
      </c>
      <c r="C896" s="1">
        <v>38119</v>
      </c>
      <c r="D896" s="8">
        <f ca="1">ROUND(YEARFRAC(NEET[[#This Row],[Date_of_Birth]],TODAY()),0)</f>
        <v>22</v>
      </c>
      <c r="E896" t="s">
        <v>48</v>
      </c>
      <c r="F896" t="s">
        <v>49</v>
      </c>
      <c r="G896" t="s">
        <v>22</v>
      </c>
      <c r="H896">
        <v>4</v>
      </c>
      <c r="I896">
        <v>82</v>
      </c>
      <c r="J896">
        <v>63</v>
      </c>
      <c r="K896">
        <v>165</v>
      </c>
      <c r="L896">
        <v>310</v>
      </c>
      <c r="M896">
        <v>2025</v>
      </c>
    </row>
    <row r="897" spans="1:13" x14ac:dyDescent="0.25">
      <c r="A897" t="s">
        <v>934</v>
      </c>
      <c r="B897" t="s">
        <v>13</v>
      </c>
      <c r="C897" s="1">
        <v>38932</v>
      </c>
      <c r="D897" s="8">
        <f ca="1">ROUND(YEARFRAC(NEET[[#This Row],[Date_of_Birth]],TODAY()),0)</f>
        <v>20</v>
      </c>
      <c r="E897" t="s">
        <v>62</v>
      </c>
      <c r="F897" t="s">
        <v>15</v>
      </c>
      <c r="G897" t="s">
        <v>34</v>
      </c>
      <c r="H897">
        <v>2</v>
      </c>
      <c r="I897">
        <v>158</v>
      </c>
      <c r="J897">
        <v>147</v>
      </c>
      <c r="K897">
        <v>201</v>
      </c>
      <c r="L897">
        <v>506</v>
      </c>
      <c r="M897">
        <v>2023</v>
      </c>
    </row>
    <row r="898" spans="1:13" x14ac:dyDescent="0.25">
      <c r="A898" t="s">
        <v>935</v>
      </c>
      <c r="B898" t="s">
        <v>20</v>
      </c>
      <c r="C898" s="1">
        <v>38161</v>
      </c>
      <c r="D898" s="8">
        <f ca="1">ROUND(YEARFRAC(NEET[[#This Row],[Date_of_Birth]],TODAY()),0)</f>
        <v>22</v>
      </c>
      <c r="E898" t="s">
        <v>27</v>
      </c>
      <c r="F898" t="s">
        <v>15</v>
      </c>
      <c r="G898" t="s">
        <v>16</v>
      </c>
      <c r="H898">
        <v>4</v>
      </c>
      <c r="I898">
        <v>93</v>
      </c>
      <c r="J898">
        <v>164</v>
      </c>
      <c r="K898">
        <v>228</v>
      </c>
      <c r="L898">
        <v>485</v>
      </c>
      <c r="M898">
        <v>2023</v>
      </c>
    </row>
    <row r="899" spans="1:13" x14ac:dyDescent="0.25">
      <c r="A899" t="s">
        <v>936</v>
      </c>
      <c r="B899" t="s">
        <v>20</v>
      </c>
      <c r="C899" s="1">
        <v>39545</v>
      </c>
      <c r="D899" s="8">
        <f ca="1">ROUND(YEARFRAC(NEET[[#This Row],[Date_of_Birth]],TODAY()),0)</f>
        <v>18</v>
      </c>
      <c r="E899" t="s">
        <v>14</v>
      </c>
      <c r="F899" t="s">
        <v>15</v>
      </c>
      <c r="G899" t="s">
        <v>34</v>
      </c>
      <c r="H899">
        <v>2</v>
      </c>
      <c r="I899">
        <v>103</v>
      </c>
      <c r="J899">
        <v>146</v>
      </c>
      <c r="K899">
        <v>237</v>
      </c>
      <c r="L899">
        <v>486</v>
      </c>
      <c r="M899">
        <v>2024</v>
      </c>
    </row>
    <row r="900" spans="1:13" x14ac:dyDescent="0.25">
      <c r="A900" t="s">
        <v>937</v>
      </c>
      <c r="B900" t="s">
        <v>13</v>
      </c>
      <c r="C900" s="1">
        <v>37261</v>
      </c>
      <c r="D900" s="8">
        <f ca="1">ROUND(YEARFRAC(NEET[[#This Row],[Date_of_Birth]],TODAY()),0)</f>
        <v>24</v>
      </c>
      <c r="E900" t="s">
        <v>48</v>
      </c>
      <c r="F900" t="s">
        <v>49</v>
      </c>
      <c r="G900" t="s">
        <v>25</v>
      </c>
      <c r="H900">
        <v>4</v>
      </c>
      <c r="I900">
        <v>140</v>
      </c>
      <c r="J900">
        <v>147</v>
      </c>
      <c r="K900">
        <v>256</v>
      </c>
      <c r="L900">
        <v>543</v>
      </c>
      <c r="M900">
        <v>2024</v>
      </c>
    </row>
    <row r="901" spans="1:13" x14ac:dyDescent="0.25">
      <c r="A901" t="s">
        <v>938</v>
      </c>
      <c r="B901" t="s">
        <v>20</v>
      </c>
      <c r="C901" s="1">
        <v>37172</v>
      </c>
      <c r="D901" s="8">
        <f ca="1">ROUND(YEARFRAC(NEET[[#This Row],[Date_of_Birth]],TODAY()),0)</f>
        <v>25</v>
      </c>
      <c r="E901" t="s">
        <v>24</v>
      </c>
      <c r="F901" t="s">
        <v>15</v>
      </c>
      <c r="G901" t="s">
        <v>16</v>
      </c>
      <c r="H901">
        <v>4</v>
      </c>
      <c r="I901">
        <v>167</v>
      </c>
      <c r="J901">
        <v>104</v>
      </c>
      <c r="K901">
        <v>94</v>
      </c>
      <c r="L901">
        <v>365</v>
      </c>
      <c r="M901">
        <v>2023</v>
      </c>
    </row>
    <row r="902" spans="1:13" x14ac:dyDescent="0.25">
      <c r="A902" t="s">
        <v>939</v>
      </c>
      <c r="B902" t="s">
        <v>20</v>
      </c>
      <c r="C902" s="1">
        <v>38036</v>
      </c>
      <c r="D902" s="8">
        <f ca="1">ROUND(YEARFRAC(NEET[[#This Row],[Date_of_Birth]],TODAY()),0)</f>
        <v>22</v>
      </c>
      <c r="E902" t="s">
        <v>14</v>
      </c>
      <c r="F902" t="s">
        <v>15</v>
      </c>
      <c r="G902" t="s">
        <v>29</v>
      </c>
      <c r="H902">
        <v>2</v>
      </c>
      <c r="I902">
        <v>56</v>
      </c>
      <c r="J902">
        <v>159</v>
      </c>
      <c r="K902">
        <v>226</v>
      </c>
      <c r="L902">
        <v>441</v>
      </c>
      <c r="M902">
        <v>2024</v>
      </c>
    </row>
    <row r="903" spans="1:13" x14ac:dyDescent="0.25">
      <c r="A903" t="s">
        <v>940</v>
      </c>
      <c r="B903" t="s">
        <v>20</v>
      </c>
      <c r="C903" s="1">
        <v>38598</v>
      </c>
      <c r="D903" s="8">
        <f ca="1">ROUND(YEARFRAC(NEET[[#This Row],[Date_of_Birth]],TODAY()),0)</f>
        <v>21</v>
      </c>
      <c r="E903" t="s">
        <v>53</v>
      </c>
      <c r="F903" t="s">
        <v>15</v>
      </c>
      <c r="G903" t="s">
        <v>34</v>
      </c>
      <c r="H903">
        <v>3</v>
      </c>
      <c r="I903">
        <v>148</v>
      </c>
      <c r="J903">
        <v>36</v>
      </c>
      <c r="K903">
        <v>97</v>
      </c>
      <c r="L903">
        <v>281</v>
      </c>
      <c r="M903">
        <v>2024</v>
      </c>
    </row>
    <row r="904" spans="1:13" x14ac:dyDescent="0.25">
      <c r="A904" t="s">
        <v>941</v>
      </c>
      <c r="B904" t="s">
        <v>20</v>
      </c>
      <c r="C904" s="1">
        <v>38150</v>
      </c>
      <c r="D904" s="8">
        <f ca="1">ROUND(YEARFRAC(NEET[[#This Row],[Date_of_Birth]],TODAY()),0)</f>
        <v>22</v>
      </c>
      <c r="E904" t="s">
        <v>53</v>
      </c>
      <c r="F904" t="s">
        <v>15</v>
      </c>
      <c r="G904" t="s">
        <v>34</v>
      </c>
      <c r="H904">
        <v>4</v>
      </c>
      <c r="I904">
        <v>32</v>
      </c>
      <c r="J904">
        <v>94</v>
      </c>
      <c r="K904">
        <v>118</v>
      </c>
      <c r="L904">
        <v>244</v>
      </c>
      <c r="M904">
        <v>2026</v>
      </c>
    </row>
    <row r="905" spans="1:13" x14ac:dyDescent="0.25">
      <c r="A905" t="s">
        <v>942</v>
      </c>
      <c r="B905" t="s">
        <v>20</v>
      </c>
      <c r="C905" s="1">
        <v>36805</v>
      </c>
      <c r="D905" s="8">
        <f ca="1">ROUND(YEARFRAC(NEET[[#This Row],[Date_of_Birth]],TODAY()),0)</f>
        <v>26</v>
      </c>
      <c r="E905" t="s">
        <v>14</v>
      </c>
      <c r="F905" t="s">
        <v>15</v>
      </c>
      <c r="G905" t="s">
        <v>22</v>
      </c>
      <c r="H905">
        <v>3</v>
      </c>
      <c r="I905">
        <v>170</v>
      </c>
      <c r="J905">
        <v>92</v>
      </c>
      <c r="K905">
        <v>284</v>
      </c>
      <c r="L905">
        <v>546</v>
      </c>
      <c r="M905">
        <v>2024</v>
      </c>
    </row>
    <row r="906" spans="1:13" x14ac:dyDescent="0.25">
      <c r="A906" t="s">
        <v>943</v>
      </c>
      <c r="B906" t="s">
        <v>20</v>
      </c>
      <c r="C906" s="1">
        <v>36599</v>
      </c>
      <c r="D906" s="8">
        <f ca="1">ROUND(YEARFRAC(NEET[[#This Row],[Date_of_Birth]],TODAY()),0)</f>
        <v>26</v>
      </c>
      <c r="E906" t="s">
        <v>27</v>
      </c>
      <c r="F906" t="s">
        <v>15</v>
      </c>
      <c r="G906" t="s">
        <v>25</v>
      </c>
      <c r="H906">
        <v>2</v>
      </c>
      <c r="I906">
        <v>55</v>
      </c>
      <c r="J906">
        <v>75</v>
      </c>
      <c r="K906">
        <v>210</v>
      </c>
      <c r="L906">
        <v>340</v>
      </c>
      <c r="M906">
        <v>2023</v>
      </c>
    </row>
    <row r="907" spans="1:13" x14ac:dyDescent="0.25">
      <c r="A907" t="s">
        <v>944</v>
      </c>
      <c r="B907" t="s">
        <v>13</v>
      </c>
      <c r="C907" s="1">
        <v>39300</v>
      </c>
      <c r="D907" s="8">
        <f ca="1">ROUND(YEARFRAC(NEET[[#This Row],[Date_of_Birth]],TODAY()),0)</f>
        <v>19</v>
      </c>
      <c r="E907" t="s">
        <v>24</v>
      </c>
      <c r="F907" t="s">
        <v>15</v>
      </c>
      <c r="G907" t="s">
        <v>16</v>
      </c>
      <c r="H907">
        <v>1</v>
      </c>
      <c r="I907">
        <v>69</v>
      </c>
      <c r="J907">
        <v>142</v>
      </c>
      <c r="K907">
        <v>243</v>
      </c>
      <c r="L907">
        <v>454</v>
      </c>
      <c r="M907">
        <v>2024</v>
      </c>
    </row>
    <row r="908" spans="1:13" x14ac:dyDescent="0.25">
      <c r="A908" t="s">
        <v>945</v>
      </c>
      <c r="B908" t="s">
        <v>20</v>
      </c>
      <c r="C908" s="1">
        <v>38336</v>
      </c>
      <c r="D908" s="8">
        <f ca="1">ROUND(YEARFRAC(NEET[[#This Row],[Date_of_Birth]],TODAY()),0)</f>
        <v>21</v>
      </c>
      <c r="E908" t="s">
        <v>36</v>
      </c>
      <c r="F908" t="s">
        <v>37</v>
      </c>
      <c r="G908" t="s">
        <v>25</v>
      </c>
      <c r="H908">
        <v>4</v>
      </c>
      <c r="I908">
        <v>42</v>
      </c>
      <c r="J908">
        <v>163</v>
      </c>
      <c r="K908">
        <v>112</v>
      </c>
      <c r="L908">
        <v>317</v>
      </c>
      <c r="M908">
        <v>2023</v>
      </c>
    </row>
    <row r="909" spans="1:13" x14ac:dyDescent="0.25">
      <c r="A909" t="s">
        <v>946</v>
      </c>
      <c r="B909" t="s">
        <v>13</v>
      </c>
      <c r="C909" s="1">
        <v>36725</v>
      </c>
      <c r="D909" s="8">
        <f ca="1">ROUND(YEARFRAC(NEET[[#This Row],[Date_of_Birth]],TODAY()),0)</f>
        <v>26</v>
      </c>
      <c r="E909" t="s">
        <v>69</v>
      </c>
      <c r="F909" t="s">
        <v>70</v>
      </c>
      <c r="G909" t="s">
        <v>25</v>
      </c>
      <c r="H909">
        <v>2</v>
      </c>
      <c r="I909">
        <v>126</v>
      </c>
      <c r="J909">
        <v>81</v>
      </c>
      <c r="K909">
        <v>187</v>
      </c>
      <c r="L909">
        <v>394</v>
      </c>
      <c r="M909">
        <v>2023</v>
      </c>
    </row>
    <row r="910" spans="1:13" x14ac:dyDescent="0.25">
      <c r="A910" t="s">
        <v>947</v>
      </c>
      <c r="B910" t="s">
        <v>13</v>
      </c>
      <c r="C910" s="1">
        <v>38253</v>
      </c>
      <c r="D910" s="8">
        <f ca="1">ROUND(YEARFRAC(NEET[[#This Row],[Date_of_Birth]],TODAY()),0)</f>
        <v>22</v>
      </c>
      <c r="E910" t="s">
        <v>53</v>
      </c>
      <c r="F910" t="s">
        <v>15</v>
      </c>
      <c r="G910" t="s">
        <v>22</v>
      </c>
      <c r="H910">
        <v>1</v>
      </c>
      <c r="I910">
        <v>33</v>
      </c>
      <c r="J910">
        <v>116</v>
      </c>
      <c r="K910">
        <v>158</v>
      </c>
      <c r="L910">
        <v>307</v>
      </c>
      <c r="M910">
        <v>2024</v>
      </c>
    </row>
    <row r="911" spans="1:13" x14ac:dyDescent="0.25">
      <c r="A911" t="s">
        <v>948</v>
      </c>
      <c r="B911" t="s">
        <v>13</v>
      </c>
      <c r="C911" s="1">
        <v>36706</v>
      </c>
      <c r="D911" s="8">
        <f ca="1">ROUND(YEARFRAC(NEET[[#This Row],[Date_of_Birth]],TODAY()),0)</f>
        <v>26</v>
      </c>
      <c r="E911" t="s">
        <v>18</v>
      </c>
      <c r="F911" t="s">
        <v>15</v>
      </c>
      <c r="G911" t="s">
        <v>16</v>
      </c>
      <c r="H911">
        <v>2</v>
      </c>
      <c r="I911">
        <v>161</v>
      </c>
      <c r="J911">
        <v>57</v>
      </c>
      <c r="K911">
        <v>227</v>
      </c>
      <c r="L911">
        <v>445</v>
      </c>
      <c r="M911">
        <v>2026</v>
      </c>
    </row>
    <row r="912" spans="1:13" x14ac:dyDescent="0.25">
      <c r="A912" t="s">
        <v>949</v>
      </c>
      <c r="B912" t="s">
        <v>20</v>
      </c>
      <c r="C912" s="1">
        <v>38278</v>
      </c>
      <c r="D912" s="8">
        <f ca="1">ROUND(YEARFRAC(NEET[[#This Row],[Date_of_Birth]],TODAY()),0)</f>
        <v>22</v>
      </c>
      <c r="E912" t="s">
        <v>14</v>
      </c>
      <c r="F912" t="s">
        <v>15</v>
      </c>
      <c r="G912" t="s">
        <v>25</v>
      </c>
      <c r="H912">
        <v>2</v>
      </c>
      <c r="I912">
        <v>89</v>
      </c>
      <c r="J912">
        <v>84</v>
      </c>
      <c r="K912">
        <v>114</v>
      </c>
      <c r="L912">
        <v>287</v>
      </c>
      <c r="M912">
        <v>2026</v>
      </c>
    </row>
    <row r="913" spans="1:13" x14ac:dyDescent="0.25">
      <c r="A913" t="s">
        <v>950</v>
      </c>
      <c r="B913" t="s">
        <v>13</v>
      </c>
      <c r="C913" s="1">
        <v>39204</v>
      </c>
      <c r="D913" s="8">
        <f ca="1">ROUND(YEARFRAC(NEET[[#This Row],[Date_of_Birth]],TODAY()),0)</f>
        <v>19</v>
      </c>
      <c r="E913" t="s">
        <v>46</v>
      </c>
      <c r="F913" t="s">
        <v>15</v>
      </c>
      <c r="G913" t="s">
        <v>29</v>
      </c>
      <c r="H913">
        <v>1</v>
      </c>
      <c r="I913">
        <v>33</v>
      </c>
      <c r="J913">
        <v>129</v>
      </c>
      <c r="K913">
        <v>168</v>
      </c>
      <c r="L913">
        <v>330</v>
      </c>
      <c r="M913">
        <v>2025</v>
      </c>
    </row>
    <row r="914" spans="1:13" x14ac:dyDescent="0.25">
      <c r="A914" t="s">
        <v>951</v>
      </c>
      <c r="B914" t="s">
        <v>13</v>
      </c>
      <c r="C914" s="1">
        <v>36705</v>
      </c>
      <c r="D914" s="8">
        <f ca="1">ROUND(YEARFRAC(NEET[[#This Row],[Date_of_Birth]],TODAY()),0)</f>
        <v>26</v>
      </c>
      <c r="E914" t="s">
        <v>14</v>
      </c>
      <c r="F914" t="s">
        <v>15</v>
      </c>
      <c r="G914" t="s">
        <v>29</v>
      </c>
      <c r="H914">
        <v>2</v>
      </c>
      <c r="I914">
        <v>85</v>
      </c>
      <c r="J914">
        <v>135</v>
      </c>
      <c r="K914">
        <v>214</v>
      </c>
      <c r="L914">
        <v>434</v>
      </c>
      <c r="M914">
        <v>2023</v>
      </c>
    </row>
    <row r="915" spans="1:13" x14ac:dyDescent="0.25">
      <c r="A915" t="s">
        <v>952</v>
      </c>
      <c r="B915" t="s">
        <v>20</v>
      </c>
      <c r="C915" s="1">
        <v>38983</v>
      </c>
      <c r="D915" s="8">
        <f ca="1">ROUND(YEARFRAC(NEET[[#This Row],[Date_of_Birth]],TODAY()),0)</f>
        <v>20</v>
      </c>
      <c r="E915" t="s">
        <v>46</v>
      </c>
      <c r="F915" t="s">
        <v>15</v>
      </c>
      <c r="G915" t="s">
        <v>25</v>
      </c>
      <c r="H915">
        <v>4</v>
      </c>
      <c r="I915">
        <v>129</v>
      </c>
      <c r="J915">
        <v>64</v>
      </c>
      <c r="K915">
        <v>230</v>
      </c>
      <c r="L915">
        <v>423</v>
      </c>
      <c r="M915">
        <v>2025</v>
      </c>
    </row>
    <row r="916" spans="1:13" x14ac:dyDescent="0.25">
      <c r="A916" t="s">
        <v>953</v>
      </c>
      <c r="B916" t="s">
        <v>13</v>
      </c>
      <c r="C916" s="1">
        <v>36598</v>
      </c>
      <c r="D916" s="8">
        <f ca="1">ROUND(YEARFRAC(NEET[[#This Row],[Date_of_Birth]],TODAY()),0)</f>
        <v>26</v>
      </c>
      <c r="E916" t="s">
        <v>27</v>
      </c>
      <c r="F916" t="s">
        <v>15</v>
      </c>
      <c r="G916" t="s">
        <v>25</v>
      </c>
      <c r="H916">
        <v>2</v>
      </c>
      <c r="I916">
        <v>179</v>
      </c>
      <c r="J916">
        <v>144</v>
      </c>
      <c r="K916">
        <v>255</v>
      </c>
      <c r="L916">
        <v>578</v>
      </c>
      <c r="M916">
        <v>2023</v>
      </c>
    </row>
    <row r="917" spans="1:13" x14ac:dyDescent="0.25">
      <c r="A917" t="s">
        <v>954</v>
      </c>
      <c r="B917" t="s">
        <v>13</v>
      </c>
      <c r="C917" s="1">
        <v>37791</v>
      </c>
      <c r="D917" s="8">
        <f ca="1">ROUND(YEARFRAC(NEET[[#This Row],[Date_of_Birth]],TODAY()),0)</f>
        <v>23</v>
      </c>
      <c r="E917" t="s">
        <v>62</v>
      </c>
      <c r="F917" t="s">
        <v>15</v>
      </c>
      <c r="G917" t="s">
        <v>34</v>
      </c>
      <c r="H917">
        <v>3</v>
      </c>
      <c r="I917">
        <v>139</v>
      </c>
      <c r="J917">
        <v>92</v>
      </c>
      <c r="K917">
        <v>100</v>
      </c>
      <c r="L917">
        <v>331</v>
      </c>
      <c r="M917">
        <v>2025</v>
      </c>
    </row>
    <row r="918" spans="1:13" x14ac:dyDescent="0.25">
      <c r="A918" t="s">
        <v>955</v>
      </c>
      <c r="B918" t="s">
        <v>20</v>
      </c>
      <c r="C918" s="1">
        <v>37353</v>
      </c>
      <c r="D918" s="8">
        <f ca="1">ROUND(YEARFRAC(NEET[[#This Row],[Date_of_Birth]],TODAY()),0)</f>
        <v>24</v>
      </c>
      <c r="E918" t="s">
        <v>40</v>
      </c>
      <c r="F918" t="s">
        <v>15</v>
      </c>
      <c r="G918" t="s">
        <v>22</v>
      </c>
      <c r="H918">
        <v>3</v>
      </c>
      <c r="I918">
        <v>126</v>
      </c>
      <c r="J918">
        <v>82</v>
      </c>
      <c r="K918">
        <v>79</v>
      </c>
      <c r="L918">
        <v>287</v>
      </c>
      <c r="M918">
        <v>2025</v>
      </c>
    </row>
    <row r="919" spans="1:13" x14ac:dyDescent="0.25">
      <c r="A919" t="s">
        <v>956</v>
      </c>
      <c r="B919" t="s">
        <v>13</v>
      </c>
      <c r="C919" s="1">
        <v>37826</v>
      </c>
      <c r="D919" s="8">
        <f ca="1">ROUND(YEARFRAC(NEET[[#This Row],[Date_of_Birth]],TODAY()),0)</f>
        <v>23</v>
      </c>
      <c r="E919" t="s">
        <v>21</v>
      </c>
      <c r="F919" t="s">
        <v>21</v>
      </c>
      <c r="G919" t="s">
        <v>29</v>
      </c>
      <c r="H919">
        <v>2</v>
      </c>
      <c r="I919">
        <v>40</v>
      </c>
      <c r="J919">
        <v>163</v>
      </c>
      <c r="K919">
        <v>272</v>
      </c>
      <c r="L919">
        <v>475</v>
      </c>
      <c r="M919">
        <v>2025</v>
      </c>
    </row>
    <row r="920" spans="1:13" x14ac:dyDescent="0.25">
      <c r="A920" t="s">
        <v>957</v>
      </c>
      <c r="B920" t="s">
        <v>20</v>
      </c>
      <c r="C920" s="1">
        <v>37518</v>
      </c>
      <c r="D920" s="8">
        <f ca="1">ROUND(YEARFRAC(NEET[[#This Row],[Date_of_Birth]],TODAY()),0)</f>
        <v>24</v>
      </c>
      <c r="E920" t="s">
        <v>62</v>
      </c>
      <c r="F920" t="s">
        <v>15</v>
      </c>
      <c r="G920" t="s">
        <v>22</v>
      </c>
      <c r="H920">
        <v>3</v>
      </c>
      <c r="I920">
        <v>168</v>
      </c>
      <c r="J920">
        <v>43</v>
      </c>
      <c r="K920">
        <v>187</v>
      </c>
      <c r="L920">
        <v>398</v>
      </c>
      <c r="M920">
        <v>2026</v>
      </c>
    </row>
    <row r="921" spans="1:13" x14ac:dyDescent="0.25">
      <c r="A921" t="s">
        <v>958</v>
      </c>
      <c r="B921" t="s">
        <v>13</v>
      </c>
      <c r="C921" s="1">
        <v>39105</v>
      </c>
      <c r="D921" s="8">
        <f ca="1">ROUND(YEARFRAC(NEET[[#This Row],[Date_of_Birth]],TODAY()),0)</f>
        <v>19</v>
      </c>
      <c r="E921" t="s">
        <v>53</v>
      </c>
      <c r="F921" t="s">
        <v>15</v>
      </c>
      <c r="G921" t="s">
        <v>22</v>
      </c>
      <c r="H921">
        <v>2</v>
      </c>
      <c r="I921">
        <v>46</v>
      </c>
      <c r="J921">
        <v>155</v>
      </c>
      <c r="K921">
        <v>95</v>
      </c>
      <c r="L921">
        <v>296</v>
      </c>
      <c r="M921">
        <v>2024</v>
      </c>
    </row>
    <row r="922" spans="1:13" x14ac:dyDescent="0.25">
      <c r="A922" t="s">
        <v>959</v>
      </c>
      <c r="B922" t="s">
        <v>20</v>
      </c>
      <c r="C922" s="1">
        <v>36901</v>
      </c>
      <c r="D922" s="8">
        <f ca="1">ROUND(YEARFRAC(NEET[[#This Row],[Date_of_Birth]],TODAY()),0)</f>
        <v>25</v>
      </c>
      <c r="E922" t="s">
        <v>40</v>
      </c>
      <c r="F922" t="s">
        <v>15</v>
      </c>
      <c r="G922" t="s">
        <v>29</v>
      </c>
      <c r="H922">
        <v>4</v>
      </c>
      <c r="I922">
        <v>170</v>
      </c>
      <c r="J922">
        <v>82</v>
      </c>
      <c r="K922">
        <v>180</v>
      </c>
      <c r="L922">
        <v>432</v>
      </c>
      <c r="M922">
        <v>2024</v>
      </c>
    </row>
    <row r="923" spans="1:13" x14ac:dyDescent="0.25">
      <c r="A923" t="s">
        <v>960</v>
      </c>
      <c r="B923" t="s">
        <v>20</v>
      </c>
      <c r="C923" s="1">
        <v>39481</v>
      </c>
      <c r="D923" s="8">
        <f ca="1">ROUND(YEARFRAC(NEET[[#This Row],[Date_of_Birth]],TODAY()),0)</f>
        <v>18</v>
      </c>
      <c r="E923" t="s">
        <v>62</v>
      </c>
      <c r="F923" t="s">
        <v>15</v>
      </c>
      <c r="G923" t="s">
        <v>16</v>
      </c>
      <c r="H923">
        <v>3</v>
      </c>
      <c r="I923">
        <v>92</v>
      </c>
      <c r="J923">
        <v>138</v>
      </c>
      <c r="K923">
        <v>150</v>
      </c>
      <c r="L923">
        <v>380</v>
      </c>
      <c r="M923">
        <v>2026</v>
      </c>
    </row>
    <row r="924" spans="1:13" x14ac:dyDescent="0.25">
      <c r="A924" t="s">
        <v>961</v>
      </c>
      <c r="B924" t="s">
        <v>20</v>
      </c>
      <c r="C924" s="1">
        <v>39129</v>
      </c>
      <c r="D924" s="8">
        <f ca="1">ROUND(YEARFRAC(NEET[[#This Row],[Date_of_Birth]],TODAY()),0)</f>
        <v>19</v>
      </c>
      <c r="E924" t="s">
        <v>62</v>
      </c>
      <c r="F924" t="s">
        <v>15</v>
      </c>
      <c r="G924" t="s">
        <v>22</v>
      </c>
      <c r="H924">
        <v>4</v>
      </c>
      <c r="I924">
        <v>99</v>
      </c>
      <c r="J924">
        <v>153</v>
      </c>
      <c r="K924">
        <v>100</v>
      </c>
      <c r="L924">
        <v>352</v>
      </c>
      <c r="M924">
        <v>2026</v>
      </c>
    </row>
    <row r="925" spans="1:13" x14ac:dyDescent="0.25">
      <c r="A925" t="s">
        <v>962</v>
      </c>
      <c r="B925" t="s">
        <v>13</v>
      </c>
      <c r="C925" s="1">
        <v>38333</v>
      </c>
      <c r="D925" s="8">
        <f ca="1">ROUND(YEARFRAC(NEET[[#This Row],[Date_of_Birth]],TODAY()),0)</f>
        <v>21</v>
      </c>
      <c r="E925" t="s">
        <v>18</v>
      </c>
      <c r="F925" t="s">
        <v>15</v>
      </c>
      <c r="G925" t="s">
        <v>34</v>
      </c>
      <c r="H925">
        <v>4</v>
      </c>
      <c r="I925">
        <v>159</v>
      </c>
      <c r="J925">
        <v>140</v>
      </c>
      <c r="K925">
        <v>139</v>
      </c>
      <c r="L925">
        <v>438</v>
      </c>
      <c r="M925">
        <v>2023</v>
      </c>
    </row>
    <row r="926" spans="1:13" x14ac:dyDescent="0.25">
      <c r="A926" t="s">
        <v>963</v>
      </c>
      <c r="B926" t="s">
        <v>20</v>
      </c>
      <c r="C926" s="1">
        <v>39634</v>
      </c>
      <c r="D926" s="8">
        <f ca="1">ROUND(YEARFRAC(NEET[[#This Row],[Date_of_Birth]],TODAY()),0)</f>
        <v>18</v>
      </c>
      <c r="E926" t="s">
        <v>48</v>
      </c>
      <c r="F926" t="s">
        <v>49</v>
      </c>
      <c r="G926" t="s">
        <v>34</v>
      </c>
      <c r="H926">
        <v>4</v>
      </c>
      <c r="I926">
        <v>106</v>
      </c>
      <c r="J926">
        <v>167</v>
      </c>
      <c r="K926">
        <v>138</v>
      </c>
      <c r="L926">
        <v>411</v>
      </c>
      <c r="M926">
        <v>2025</v>
      </c>
    </row>
    <row r="927" spans="1:13" x14ac:dyDescent="0.25">
      <c r="A927" t="s">
        <v>964</v>
      </c>
      <c r="B927" t="s">
        <v>20</v>
      </c>
      <c r="C927" s="1">
        <v>38383</v>
      </c>
      <c r="D927" s="8">
        <f ca="1">ROUND(YEARFRAC(NEET[[#This Row],[Date_of_Birth]],TODAY()),0)</f>
        <v>21</v>
      </c>
      <c r="E927" t="s">
        <v>24</v>
      </c>
      <c r="F927" t="s">
        <v>15</v>
      </c>
      <c r="G927" t="s">
        <v>34</v>
      </c>
      <c r="H927">
        <v>2</v>
      </c>
      <c r="I927">
        <v>126</v>
      </c>
      <c r="J927">
        <v>173</v>
      </c>
      <c r="K927">
        <v>306</v>
      </c>
      <c r="L927">
        <v>605</v>
      </c>
      <c r="M927">
        <v>2024</v>
      </c>
    </row>
    <row r="928" spans="1:13" x14ac:dyDescent="0.25">
      <c r="A928" t="s">
        <v>965</v>
      </c>
      <c r="B928" t="s">
        <v>20</v>
      </c>
      <c r="C928" s="1">
        <v>37159</v>
      </c>
      <c r="D928" s="8">
        <f ca="1">ROUND(YEARFRAC(NEET[[#This Row],[Date_of_Birth]],TODAY()),0)</f>
        <v>25</v>
      </c>
      <c r="E928" t="s">
        <v>48</v>
      </c>
      <c r="F928" t="s">
        <v>49</v>
      </c>
      <c r="G928" t="s">
        <v>34</v>
      </c>
      <c r="H928">
        <v>4</v>
      </c>
      <c r="I928">
        <v>78</v>
      </c>
      <c r="J928">
        <v>31</v>
      </c>
      <c r="K928">
        <v>66</v>
      </c>
      <c r="L928">
        <v>175</v>
      </c>
      <c r="M928">
        <v>2026</v>
      </c>
    </row>
    <row r="929" spans="1:13" x14ac:dyDescent="0.25">
      <c r="A929" t="s">
        <v>966</v>
      </c>
      <c r="B929" t="s">
        <v>20</v>
      </c>
      <c r="C929" s="1">
        <v>39566</v>
      </c>
      <c r="D929" s="8">
        <f ca="1">ROUND(YEARFRAC(NEET[[#This Row],[Date_of_Birth]],TODAY()),0)</f>
        <v>18</v>
      </c>
      <c r="E929" t="s">
        <v>46</v>
      </c>
      <c r="F929" t="s">
        <v>15</v>
      </c>
      <c r="G929" t="s">
        <v>25</v>
      </c>
      <c r="H929">
        <v>1</v>
      </c>
      <c r="I929">
        <v>128</v>
      </c>
      <c r="J929">
        <v>155</v>
      </c>
      <c r="K929">
        <v>217</v>
      </c>
      <c r="L929">
        <v>500</v>
      </c>
      <c r="M929">
        <v>2026</v>
      </c>
    </row>
    <row r="930" spans="1:13" x14ac:dyDescent="0.25">
      <c r="A930" t="s">
        <v>967</v>
      </c>
      <c r="B930" t="s">
        <v>20</v>
      </c>
      <c r="C930" s="1">
        <v>38842</v>
      </c>
      <c r="D930" s="8">
        <f ca="1">ROUND(YEARFRAC(NEET[[#This Row],[Date_of_Birth]],TODAY()),0)</f>
        <v>20</v>
      </c>
      <c r="E930" t="s">
        <v>40</v>
      </c>
      <c r="F930" t="s">
        <v>15</v>
      </c>
      <c r="G930" t="s">
        <v>25</v>
      </c>
      <c r="H930">
        <v>3</v>
      </c>
      <c r="I930">
        <v>79</v>
      </c>
      <c r="J930">
        <v>141</v>
      </c>
      <c r="K930">
        <v>190</v>
      </c>
      <c r="L930">
        <v>410</v>
      </c>
      <c r="M930">
        <v>2026</v>
      </c>
    </row>
    <row r="931" spans="1:13" x14ac:dyDescent="0.25">
      <c r="A931" t="s">
        <v>968</v>
      </c>
      <c r="B931" t="s">
        <v>20</v>
      </c>
      <c r="C931" s="1">
        <v>38262</v>
      </c>
      <c r="D931" s="8">
        <f ca="1">ROUND(YEARFRAC(NEET[[#This Row],[Date_of_Birth]],TODAY()),0)</f>
        <v>22</v>
      </c>
      <c r="E931" t="s">
        <v>36</v>
      </c>
      <c r="F931" t="s">
        <v>37</v>
      </c>
      <c r="G931" t="s">
        <v>22</v>
      </c>
      <c r="H931">
        <v>1</v>
      </c>
      <c r="I931">
        <v>93</v>
      </c>
      <c r="J931">
        <v>92</v>
      </c>
      <c r="K931">
        <v>304</v>
      </c>
      <c r="L931">
        <v>489</v>
      </c>
      <c r="M931">
        <v>2025</v>
      </c>
    </row>
    <row r="932" spans="1:13" x14ac:dyDescent="0.25">
      <c r="A932" t="s">
        <v>969</v>
      </c>
      <c r="B932" t="s">
        <v>13</v>
      </c>
      <c r="C932" s="1">
        <v>39005</v>
      </c>
      <c r="D932" s="8">
        <f ca="1">ROUND(YEARFRAC(NEET[[#This Row],[Date_of_Birth]],TODAY()),0)</f>
        <v>20</v>
      </c>
      <c r="E932" t="s">
        <v>73</v>
      </c>
      <c r="F932" t="s">
        <v>15</v>
      </c>
      <c r="G932" t="s">
        <v>25</v>
      </c>
      <c r="H932">
        <v>1</v>
      </c>
      <c r="I932">
        <v>67</v>
      </c>
      <c r="J932">
        <v>95</v>
      </c>
      <c r="K932">
        <v>186</v>
      </c>
      <c r="L932">
        <v>348</v>
      </c>
      <c r="M932">
        <v>2026</v>
      </c>
    </row>
    <row r="933" spans="1:13" x14ac:dyDescent="0.25">
      <c r="A933" t="s">
        <v>970</v>
      </c>
      <c r="B933" t="s">
        <v>20</v>
      </c>
      <c r="C933" s="1">
        <v>38154</v>
      </c>
      <c r="D933" s="8">
        <f ca="1">ROUND(YEARFRAC(NEET[[#This Row],[Date_of_Birth]],TODAY()),0)</f>
        <v>22</v>
      </c>
      <c r="E933" t="s">
        <v>36</v>
      </c>
      <c r="F933" t="s">
        <v>37</v>
      </c>
      <c r="G933" t="s">
        <v>34</v>
      </c>
      <c r="H933">
        <v>2</v>
      </c>
      <c r="I933">
        <v>180</v>
      </c>
      <c r="J933">
        <v>50</v>
      </c>
      <c r="K933">
        <v>325</v>
      </c>
      <c r="L933">
        <v>555</v>
      </c>
      <c r="M933">
        <v>2025</v>
      </c>
    </row>
    <row r="934" spans="1:13" x14ac:dyDescent="0.25">
      <c r="A934" t="s">
        <v>971</v>
      </c>
      <c r="B934" t="s">
        <v>20</v>
      </c>
      <c r="C934" s="1">
        <v>39359</v>
      </c>
      <c r="D934" s="8">
        <f ca="1">ROUND(YEARFRAC(NEET[[#This Row],[Date_of_Birth]],TODAY()),0)</f>
        <v>19</v>
      </c>
      <c r="E934" t="s">
        <v>24</v>
      </c>
      <c r="F934" t="s">
        <v>15</v>
      </c>
      <c r="G934" t="s">
        <v>25</v>
      </c>
      <c r="H934">
        <v>1</v>
      </c>
      <c r="I934">
        <v>158</v>
      </c>
      <c r="J934">
        <v>166</v>
      </c>
      <c r="K934">
        <v>255</v>
      </c>
      <c r="L934">
        <v>579</v>
      </c>
      <c r="M934">
        <v>2025</v>
      </c>
    </row>
    <row r="935" spans="1:13" x14ac:dyDescent="0.25">
      <c r="A935" t="s">
        <v>972</v>
      </c>
      <c r="B935" t="s">
        <v>13</v>
      </c>
      <c r="C935" s="1">
        <v>37110</v>
      </c>
      <c r="D935" s="8">
        <f ca="1">ROUND(YEARFRAC(NEET[[#This Row],[Date_of_Birth]],TODAY()),0)</f>
        <v>25</v>
      </c>
      <c r="E935" t="s">
        <v>24</v>
      </c>
      <c r="F935" t="s">
        <v>15</v>
      </c>
      <c r="G935" t="s">
        <v>25</v>
      </c>
      <c r="H935">
        <v>4</v>
      </c>
      <c r="I935">
        <v>83</v>
      </c>
      <c r="J935">
        <v>131</v>
      </c>
      <c r="K935">
        <v>217</v>
      </c>
      <c r="L935">
        <v>431</v>
      </c>
      <c r="M935">
        <v>2023</v>
      </c>
    </row>
    <row r="936" spans="1:13" x14ac:dyDescent="0.25">
      <c r="A936" t="s">
        <v>973</v>
      </c>
      <c r="B936" t="s">
        <v>20</v>
      </c>
      <c r="C936" s="1">
        <v>36812</v>
      </c>
      <c r="D936" s="8">
        <f ca="1">ROUND(YEARFRAC(NEET[[#This Row],[Date_of_Birth]],TODAY()),0)</f>
        <v>26</v>
      </c>
      <c r="E936" t="s">
        <v>69</v>
      </c>
      <c r="F936" t="s">
        <v>70</v>
      </c>
      <c r="G936" t="s">
        <v>22</v>
      </c>
      <c r="H936">
        <v>2</v>
      </c>
      <c r="I936">
        <v>136</v>
      </c>
      <c r="J936">
        <v>164</v>
      </c>
      <c r="K936">
        <v>273</v>
      </c>
      <c r="L936">
        <v>573</v>
      </c>
      <c r="M936">
        <v>2025</v>
      </c>
    </row>
    <row r="937" spans="1:13" x14ac:dyDescent="0.25">
      <c r="A937" t="s">
        <v>974</v>
      </c>
      <c r="B937" t="s">
        <v>13</v>
      </c>
      <c r="C937" s="1">
        <v>37289</v>
      </c>
      <c r="D937" s="8">
        <f ca="1">ROUND(YEARFRAC(NEET[[#This Row],[Date_of_Birth]],TODAY()),0)</f>
        <v>24</v>
      </c>
      <c r="E937" t="s">
        <v>36</v>
      </c>
      <c r="F937" t="s">
        <v>37</v>
      </c>
      <c r="G937" t="s">
        <v>16</v>
      </c>
      <c r="H937">
        <v>4</v>
      </c>
      <c r="I937">
        <v>64</v>
      </c>
      <c r="J937">
        <v>80</v>
      </c>
      <c r="K937">
        <v>309</v>
      </c>
      <c r="L937">
        <v>453</v>
      </c>
      <c r="M937">
        <v>2024</v>
      </c>
    </row>
    <row r="938" spans="1:13" x14ac:dyDescent="0.25">
      <c r="A938" t="s">
        <v>975</v>
      </c>
      <c r="B938" t="s">
        <v>20</v>
      </c>
      <c r="C938" s="1">
        <v>37286</v>
      </c>
      <c r="D938" s="8">
        <f ca="1">ROUND(YEARFRAC(NEET[[#This Row],[Date_of_Birth]],TODAY()),0)</f>
        <v>24</v>
      </c>
      <c r="E938" t="s">
        <v>62</v>
      </c>
      <c r="F938" t="s">
        <v>15</v>
      </c>
      <c r="G938" t="s">
        <v>16</v>
      </c>
      <c r="H938">
        <v>4</v>
      </c>
      <c r="I938">
        <v>45</v>
      </c>
      <c r="J938">
        <v>76</v>
      </c>
      <c r="K938">
        <v>158</v>
      </c>
      <c r="L938">
        <v>279</v>
      </c>
      <c r="M938">
        <v>2023</v>
      </c>
    </row>
    <row r="939" spans="1:13" x14ac:dyDescent="0.25">
      <c r="A939" t="s">
        <v>976</v>
      </c>
      <c r="B939" t="s">
        <v>13</v>
      </c>
      <c r="C939" s="1">
        <v>39132</v>
      </c>
      <c r="D939" s="8">
        <f ca="1">ROUND(YEARFRAC(NEET[[#This Row],[Date_of_Birth]],TODAY()),0)</f>
        <v>19</v>
      </c>
      <c r="E939" t="s">
        <v>40</v>
      </c>
      <c r="F939" t="s">
        <v>15</v>
      </c>
      <c r="G939" t="s">
        <v>25</v>
      </c>
      <c r="H939">
        <v>3</v>
      </c>
      <c r="I939">
        <v>50</v>
      </c>
      <c r="J939">
        <v>105</v>
      </c>
      <c r="K939">
        <v>103</v>
      </c>
      <c r="L939">
        <v>258</v>
      </c>
      <c r="M939">
        <v>2025</v>
      </c>
    </row>
    <row r="940" spans="1:13" x14ac:dyDescent="0.25">
      <c r="A940" t="s">
        <v>977</v>
      </c>
      <c r="B940" t="s">
        <v>13</v>
      </c>
      <c r="C940" s="1">
        <v>36647</v>
      </c>
      <c r="D940" s="8">
        <f ca="1">ROUND(YEARFRAC(NEET[[#This Row],[Date_of_Birth]],TODAY()),0)</f>
        <v>26</v>
      </c>
      <c r="E940" t="s">
        <v>27</v>
      </c>
      <c r="F940" t="s">
        <v>15</v>
      </c>
      <c r="G940" t="s">
        <v>29</v>
      </c>
      <c r="H940">
        <v>1</v>
      </c>
      <c r="I940">
        <v>90</v>
      </c>
      <c r="J940">
        <v>152</v>
      </c>
      <c r="K940">
        <v>308</v>
      </c>
      <c r="L940">
        <v>550</v>
      </c>
      <c r="M940">
        <v>2023</v>
      </c>
    </row>
    <row r="941" spans="1:13" x14ac:dyDescent="0.25">
      <c r="A941" t="s">
        <v>978</v>
      </c>
      <c r="B941" t="s">
        <v>20</v>
      </c>
      <c r="C941" s="1">
        <v>39251</v>
      </c>
      <c r="D941" s="8">
        <f ca="1">ROUND(YEARFRAC(NEET[[#This Row],[Date_of_Birth]],TODAY()),0)</f>
        <v>19</v>
      </c>
      <c r="E941" t="s">
        <v>27</v>
      </c>
      <c r="F941" t="s">
        <v>15</v>
      </c>
      <c r="G941" t="s">
        <v>34</v>
      </c>
      <c r="H941">
        <v>3</v>
      </c>
      <c r="I941">
        <v>40</v>
      </c>
      <c r="J941">
        <v>54</v>
      </c>
      <c r="K941">
        <v>168</v>
      </c>
      <c r="L941">
        <v>262</v>
      </c>
      <c r="M941">
        <v>2026</v>
      </c>
    </row>
    <row r="942" spans="1:13" x14ac:dyDescent="0.25">
      <c r="A942" t="s">
        <v>979</v>
      </c>
      <c r="B942" t="s">
        <v>20</v>
      </c>
      <c r="C942" s="1">
        <v>39626</v>
      </c>
      <c r="D942" s="8">
        <f ca="1">ROUND(YEARFRAC(NEET[[#This Row],[Date_of_Birth]],TODAY()),0)</f>
        <v>18</v>
      </c>
      <c r="E942" t="s">
        <v>46</v>
      </c>
      <c r="F942" t="s">
        <v>15</v>
      </c>
      <c r="G942" t="s">
        <v>29</v>
      </c>
      <c r="H942">
        <v>2</v>
      </c>
      <c r="I942">
        <v>139</v>
      </c>
      <c r="J942">
        <v>116</v>
      </c>
      <c r="K942">
        <v>249</v>
      </c>
      <c r="L942">
        <v>504</v>
      </c>
      <c r="M942">
        <v>2026</v>
      </c>
    </row>
    <row r="943" spans="1:13" x14ac:dyDescent="0.25">
      <c r="A943" t="s">
        <v>980</v>
      </c>
      <c r="B943" t="s">
        <v>13</v>
      </c>
      <c r="C943" s="1">
        <v>38076</v>
      </c>
      <c r="D943" s="8">
        <f ca="1">ROUND(YEARFRAC(NEET[[#This Row],[Date_of_Birth]],TODAY()),0)</f>
        <v>22</v>
      </c>
      <c r="E943" t="s">
        <v>27</v>
      </c>
      <c r="F943" t="s">
        <v>15</v>
      </c>
      <c r="G943" t="s">
        <v>34</v>
      </c>
      <c r="H943">
        <v>4</v>
      </c>
      <c r="I943">
        <v>44</v>
      </c>
      <c r="J943">
        <v>121</v>
      </c>
      <c r="K943">
        <v>229</v>
      </c>
      <c r="L943">
        <v>394</v>
      </c>
      <c r="M943">
        <v>2024</v>
      </c>
    </row>
    <row r="944" spans="1:13" x14ac:dyDescent="0.25">
      <c r="A944" t="s">
        <v>981</v>
      </c>
      <c r="B944" t="s">
        <v>20</v>
      </c>
      <c r="C944" s="1">
        <v>36631</v>
      </c>
      <c r="D944" s="8">
        <f ca="1">ROUND(YEARFRAC(NEET[[#This Row],[Date_of_Birth]],TODAY()),0)</f>
        <v>26</v>
      </c>
      <c r="E944" t="s">
        <v>27</v>
      </c>
      <c r="F944" t="s">
        <v>15</v>
      </c>
      <c r="G944" t="s">
        <v>16</v>
      </c>
      <c r="H944">
        <v>4</v>
      </c>
      <c r="I944">
        <v>61</v>
      </c>
      <c r="J944">
        <v>165</v>
      </c>
      <c r="K944">
        <v>203</v>
      </c>
      <c r="L944">
        <v>429</v>
      </c>
      <c r="M944">
        <v>2026</v>
      </c>
    </row>
    <row r="945" spans="1:13" x14ac:dyDescent="0.25">
      <c r="A945" t="s">
        <v>982</v>
      </c>
      <c r="B945" t="s">
        <v>20</v>
      </c>
      <c r="C945" s="1">
        <v>38635</v>
      </c>
      <c r="D945" s="8">
        <f ca="1">ROUND(YEARFRAC(NEET[[#This Row],[Date_of_Birth]],TODAY()),0)</f>
        <v>21</v>
      </c>
      <c r="E945" t="s">
        <v>18</v>
      </c>
      <c r="F945" t="s">
        <v>15</v>
      </c>
      <c r="G945" t="s">
        <v>29</v>
      </c>
      <c r="H945">
        <v>1</v>
      </c>
      <c r="I945">
        <v>78</v>
      </c>
      <c r="J945">
        <v>30</v>
      </c>
      <c r="K945">
        <v>224</v>
      </c>
      <c r="L945">
        <v>332</v>
      </c>
      <c r="M945">
        <v>2026</v>
      </c>
    </row>
    <row r="946" spans="1:13" x14ac:dyDescent="0.25">
      <c r="A946" t="s">
        <v>983</v>
      </c>
      <c r="B946" t="s">
        <v>20</v>
      </c>
      <c r="C946" s="1">
        <v>37482</v>
      </c>
      <c r="D946" s="8">
        <f ca="1">ROUND(YEARFRAC(NEET[[#This Row],[Date_of_Birth]],TODAY()),0)</f>
        <v>24</v>
      </c>
      <c r="E946" t="s">
        <v>27</v>
      </c>
      <c r="F946" t="s">
        <v>15</v>
      </c>
      <c r="G946" t="s">
        <v>25</v>
      </c>
      <c r="H946">
        <v>4</v>
      </c>
      <c r="I946">
        <v>154</v>
      </c>
      <c r="J946">
        <v>132</v>
      </c>
      <c r="K946">
        <v>101</v>
      </c>
      <c r="L946">
        <v>387</v>
      </c>
      <c r="M946">
        <v>2026</v>
      </c>
    </row>
    <row r="947" spans="1:13" x14ac:dyDescent="0.25">
      <c r="A947" t="s">
        <v>984</v>
      </c>
      <c r="B947" t="s">
        <v>13</v>
      </c>
      <c r="C947" s="1">
        <v>37729</v>
      </c>
      <c r="D947" s="8">
        <f ca="1">ROUND(YEARFRAC(NEET[[#This Row],[Date_of_Birth]],TODAY()),0)</f>
        <v>23</v>
      </c>
      <c r="E947" t="s">
        <v>27</v>
      </c>
      <c r="F947" t="s">
        <v>15</v>
      </c>
      <c r="G947" t="s">
        <v>25</v>
      </c>
      <c r="H947">
        <v>4</v>
      </c>
      <c r="I947">
        <v>79</v>
      </c>
      <c r="J947">
        <v>66</v>
      </c>
      <c r="K947">
        <v>326</v>
      </c>
      <c r="L947">
        <v>471</v>
      </c>
      <c r="M947">
        <v>2025</v>
      </c>
    </row>
    <row r="948" spans="1:13" x14ac:dyDescent="0.25">
      <c r="A948" t="s">
        <v>985</v>
      </c>
      <c r="B948" t="s">
        <v>20</v>
      </c>
      <c r="C948" s="1">
        <v>39282</v>
      </c>
      <c r="D948" s="8">
        <f ca="1">ROUND(YEARFRAC(NEET[[#This Row],[Date_of_Birth]],TODAY()),0)</f>
        <v>19</v>
      </c>
      <c r="E948" t="s">
        <v>42</v>
      </c>
      <c r="F948" t="s">
        <v>15</v>
      </c>
      <c r="G948" t="s">
        <v>22</v>
      </c>
      <c r="H948">
        <v>2</v>
      </c>
      <c r="I948">
        <v>149</v>
      </c>
      <c r="J948">
        <v>73</v>
      </c>
      <c r="K948">
        <v>288</v>
      </c>
      <c r="L948">
        <v>510</v>
      </c>
      <c r="M948">
        <v>2024</v>
      </c>
    </row>
    <row r="949" spans="1:13" x14ac:dyDescent="0.25">
      <c r="A949" t="s">
        <v>986</v>
      </c>
      <c r="B949" t="s">
        <v>13</v>
      </c>
      <c r="C949" s="1">
        <v>37224</v>
      </c>
      <c r="D949" s="8">
        <f ca="1">ROUND(YEARFRAC(NEET[[#This Row],[Date_of_Birth]],TODAY()),0)</f>
        <v>24</v>
      </c>
      <c r="E949" t="s">
        <v>69</v>
      </c>
      <c r="F949" t="s">
        <v>70</v>
      </c>
      <c r="G949" t="s">
        <v>34</v>
      </c>
      <c r="H949">
        <v>3</v>
      </c>
      <c r="I949">
        <v>52</v>
      </c>
      <c r="J949">
        <v>57</v>
      </c>
      <c r="K949">
        <v>282</v>
      </c>
      <c r="L949">
        <v>391</v>
      </c>
      <c r="M949">
        <v>2025</v>
      </c>
    </row>
    <row r="950" spans="1:13" x14ac:dyDescent="0.25">
      <c r="A950" t="s">
        <v>987</v>
      </c>
      <c r="B950" t="s">
        <v>20</v>
      </c>
      <c r="C950" s="1">
        <v>37428</v>
      </c>
      <c r="D950" s="8">
        <f ca="1">ROUND(YEARFRAC(NEET[[#This Row],[Date_of_Birth]],TODAY()),0)</f>
        <v>24</v>
      </c>
      <c r="E950" t="s">
        <v>36</v>
      </c>
      <c r="F950" t="s">
        <v>37</v>
      </c>
      <c r="G950" t="s">
        <v>29</v>
      </c>
      <c r="H950">
        <v>1</v>
      </c>
      <c r="I950">
        <v>95</v>
      </c>
      <c r="J950">
        <v>151</v>
      </c>
      <c r="K950">
        <v>123</v>
      </c>
      <c r="L950">
        <v>369</v>
      </c>
      <c r="M950">
        <v>2024</v>
      </c>
    </row>
    <row r="951" spans="1:13" x14ac:dyDescent="0.25">
      <c r="A951" t="s">
        <v>988</v>
      </c>
      <c r="B951" t="s">
        <v>20</v>
      </c>
      <c r="C951" s="1">
        <v>38885</v>
      </c>
      <c r="D951" s="8">
        <f ca="1">ROUND(YEARFRAC(NEET[[#This Row],[Date_of_Birth]],TODAY()),0)</f>
        <v>20</v>
      </c>
      <c r="E951" t="s">
        <v>69</v>
      </c>
      <c r="F951" t="s">
        <v>70</v>
      </c>
      <c r="G951" t="s">
        <v>22</v>
      </c>
      <c r="H951">
        <v>2</v>
      </c>
      <c r="I951">
        <v>46</v>
      </c>
      <c r="J951">
        <v>117</v>
      </c>
      <c r="K951">
        <v>253</v>
      </c>
      <c r="L951">
        <v>416</v>
      </c>
      <c r="M951">
        <v>2025</v>
      </c>
    </row>
    <row r="952" spans="1:13" x14ac:dyDescent="0.25">
      <c r="A952" t="s">
        <v>989</v>
      </c>
      <c r="B952" t="s">
        <v>13</v>
      </c>
      <c r="C952" s="1">
        <v>36999</v>
      </c>
      <c r="D952" s="8">
        <f ca="1">ROUND(YEARFRAC(NEET[[#This Row],[Date_of_Birth]],TODAY()),0)</f>
        <v>25</v>
      </c>
      <c r="E952" t="s">
        <v>24</v>
      </c>
      <c r="F952" t="s">
        <v>15</v>
      </c>
      <c r="G952" t="s">
        <v>16</v>
      </c>
      <c r="H952">
        <v>1</v>
      </c>
      <c r="I952">
        <v>52</v>
      </c>
      <c r="J952">
        <v>58</v>
      </c>
      <c r="K952">
        <v>105</v>
      </c>
      <c r="L952">
        <v>215</v>
      </c>
      <c r="M952">
        <v>2025</v>
      </c>
    </row>
    <row r="953" spans="1:13" x14ac:dyDescent="0.25">
      <c r="A953" t="s">
        <v>990</v>
      </c>
      <c r="B953" t="s">
        <v>20</v>
      </c>
      <c r="C953" s="1">
        <v>37047</v>
      </c>
      <c r="D953" s="8">
        <f ca="1">ROUND(YEARFRAC(NEET[[#This Row],[Date_of_Birth]],TODAY()),0)</f>
        <v>25</v>
      </c>
      <c r="E953" t="s">
        <v>31</v>
      </c>
      <c r="F953" t="s">
        <v>32</v>
      </c>
      <c r="G953" t="s">
        <v>16</v>
      </c>
      <c r="H953">
        <v>1</v>
      </c>
      <c r="I953">
        <v>110</v>
      </c>
      <c r="J953">
        <v>127</v>
      </c>
      <c r="K953">
        <v>355</v>
      </c>
      <c r="L953">
        <v>592</v>
      </c>
      <c r="M953">
        <v>2024</v>
      </c>
    </row>
    <row r="954" spans="1:13" x14ac:dyDescent="0.25">
      <c r="A954" t="s">
        <v>991</v>
      </c>
      <c r="B954" t="s">
        <v>13</v>
      </c>
      <c r="C954" s="1">
        <v>38115</v>
      </c>
      <c r="D954" s="8">
        <f ca="1">ROUND(YEARFRAC(NEET[[#This Row],[Date_of_Birth]],TODAY()),0)</f>
        <v>22</v>
      </c>
      <c r="E954" t="s">
        <v>18</v>
      </c>
      <c r="F954" t="s">
        <v>15</v>
      </c>
      <c r="G954" t="s">
        <v>25</v>
      </c>
      <c r="H954">
        <v>4</v>
      </c>
      <c r="I954">
        <v>111</v>
      </c>
      <c r="J954">
        <v>123</v>
      </c>
      <c r="K954">
        <v>124</v>
      </c>
      <c r="L954">
        <v>358</v>
      </c>
      <c r="M954">
        <v>2026</v>
      </c>
    </row>
    <row r="955" spans="1:13" x14ac:dyDescent="0.25">
      <c r="A955" t="s">
        <v>992</v>
      </c>
      <c r="B955" t="s">
        <v>13</v>
      </c>
      <c r="C955" s="1">
        <v>37820</v>
      </c>
      <c r="D955" s="8">
        <f ca="1">ROUND(YEARFRAC(NEET[[#This Row],[Date_of_Birth]],TODAY()),0)</f>
        <v>23</v>
      </c>
      <c r="E955" t="s">
        <v>40</v>
      </c>
      <c r="F955" t="s">
        <v>15</v>
      </c>
      <c r="G955" t="s">
        <v>22</v>
      </c>
      <c r="H955">
        <v>3</v>
      </c>
      <c r="I955">
        <v>105</v>
      </c>
      <c r="J955">
        <v>86</v>
      </c>
      <c r="K955">
        <v>315</v>
      </c>
      <c r="L955">
        <v>506</v>
      </c>
      <c r="M955">
        <v>2023</v>
      </c>
    </row>
    <row r="956" spans="1:13" x14ac:dyDescent="0.25">
      <c r="A956" t="s">
        <v>993</v>
      </c>
      <c r="B956" t="s">
        <v>20</v>
      </c>
      <c r="C956" s="1">
        <v>38979</v>
      </c>
      <c r="D956" s="8">
        <f ca="1">ROUND(YEARFRAC(NEET[[#This Row],[Date_of_Birth]],TODAY()),0)</f>
        <v>20</v>
      </c>
      <c r="E956" t="s">
        <v>46</v>
      </c>
      <c r="F956" t="s">
        <v>15</v>
      </c>
      <c r="G956" t="s">
        <v>34</v>
      </c>
      <c r="H956">
        <v>2</v>
      </c>
      <c r="I956">
        <v>109</v>
      </c>
      <c r="J956">
        <v>158</v>
      </c>
      <c r="K956">
        <v>123</v>
      </c>
      <c r="L956">
        <v>390</v>
      </c>
      <c r="M956">
        <v>2025</v>
      </c>
    </row>
    <row r="957" spans="1:13" x14ac:dyDescent="0.25">
      <c r="A957" t="s">
        <v>994</v>
      </c>
      <c r="B957" t="s">
        <v>13</v>
      </c>
      <c r="C957" s="1">
        <v>39410</v>
      </c>
      <c r="D957" s="8">
        <f ca="1">ROUND(YEARFRAC(NEET[[#This Row],[Date_of_Birth]],TODAY()),0)</f>
        <v>18</v>
      </c>
      <c r="E957" t="s">
        <v>18</v>
      </c>
      <c r="F957" t="s">
        <v>15</v>
      </c>
      <c r="G957" t="s">
        <v>22</v>
      </c>
      <c r="H957">
        <v>1</v>
      </c>
      <c r="I957">
        <v>45</v>
      </c>
      <c r="J957">
        <v>115</v>
      </c>
      <c r="K957">
        <v>138</v>
      </c>
      <c r="L957">
        <v>298</v>
      </c>
      <c r="M957">
        <v>2026</v>
      </c>
    </row>
    <row r="958" spans="1:13" x14ac:dyDescent="0.25">
      <c r="A958" t="s">
        <v>995</v>
      </c>
      <c r="B958" t="s">
        <v>20</v>
      </c>
      <c r="C958" s="1">
        <v>39505</v>
      </c>
      <c r="D958" s="8">
        <f ca="1">ROUND(YEARFRAC(NEET[[#This Row],[Date_of_Birth]],TODAY()),0)</f>
        <v>18</v>
      </c>
      <c r="E958" t="s">
        <v>18</v>
      </c>
      <c r="F958" t="s">
        <v>15</v>
      </c>
      <c r="G958" t="s">
        <v>34</v>
      </c>
      <c r="H958">
        <v>4</v>
      </c>
      <c r="I958">
        <v>106</v>
      </c>
      <c r="J958">
        <v>70</v>
      </c>
      <c r="K958">
        <v>71</v>
      </c>
      <c r="L958">
        <v>247</v>
      </c>
      <c r="M958">
        <v>2025</v>
      </c>
    </row>
    <row r="959" spans="1:13" x14ac:dyDescent="0.25">
      <c r="A959" t="s">
        <v>996</v>
      </c>
      <c r="B959" t="s">
        <v>20</v>
      </c>
      <c r="C959" s="1">
        <v>39629</v>
      </c>
      <c r="D959" s="8">
        <f ca="1">ROUND(YEARFRAC(NEET[[#This Row],[Date_of_Birth]],TODAY()),0)</f>
        <v>18</v>
      </c>
      <c r="E959" t="s">
        <v>18</v>
      </c>
      <c r="F959" t="s">
        <v>15</v>
      </c>
      <c r="G959" t="s">
        <v>16</v>
      </c>
      <c r="H959">
        <v>2</v>
      </c>
      <c r="I959">
        <v>130</v>
      </c>
      <c r="J959">
        <v>48</v>
      </c>
      <c r="K959">
        <v>330</v>
      </c>
      <c r="L959">
        <v>508</v>
      </c>
      <c r="M959">
        <v>2026</v>
      </c>
    </row>
    <row r="960" spans="1:13" x14ac:dyDescent="0.25">
      <c r="A960" t="s">
        <v>997</v>
      </c>
      <c r="B960" t="s">
        <v>20</v>
      </c>
      <c r="C960" s="1">
        <v>36924</v>
      </c>
      <c r="D960" s="8">
        <f ca="1">ROUND(YEARFRAC(NEET[[#This Row],[Date_of_Birth]],TODAY()),0)</f>
        <v>25</v>
      </c>
      <c r="E960" t="s">
        <v>40</v>
      </c>
      <c r="F960" t="s">
        <v>15</v>
      </c>
      <c r="G960" t="s">
        <v>16</v>
      </c>
      <c r="H960">
        <v>2</v>
      </c>
      <c r="I960">
        <v>112</v>
      </c>
      <c r="J960">
        <v>178</v>
      </c>
      <c r="K960">
        <v>87</v>
      </c>
      <c r="L960">
        <v>377</v>
      </c>
      <c r="M960">
        <v>2024</v>
      </c>
    </row>
    <row r="961" spans="1:13" x14ac:dyDescent="0.25">
      <c r="A961" t="s">
        <v>998</v>
      </c>
      <c r="B961" t="s">
        <v>13</v>
      </c>
      <c r="C961" s="1">
        <v>38335</v>
      </c>
      <c r="D961" s="8">
        <f ca="1">ROUND(YEARFRAC(NEET[[#This Row],[Date_of_Birth]],TODAY()),0)</f>
        <v>21</v>
      </c>
      <c r="E961" t="s">
        <v>36</v>
      </c>
      <c r="F961" t="s">
        <v>37</v>
      </c>
      <c r="G961" t="s">
        <v>25</v>
      </c>
      <c r="H961">
        <v>2</v>
      </c>
      <c r="I961">
        <v>153</v>
      </c>
      <c r="J961">
        <v>104</v>
      </c>
      <c r="K961">
        <v>134</v>
      </c>
      <c r="L961">
        <v>391</v>
      </c>
      <c r="M961">
        <v>2025</v>
      </c>
    </row>
    <row r="962" spans="1:13" x14ac:dyDescent="0.25">
      <c r="A962" t="s">
        <v>999</v>
      </c>
      <c r="B962" t="s">
        <v>20</v>
      </c>
      <c r="C962" s="1">
        <v>39499</v>
      </c>
      <c r="D962" s="8">
        <f ca="1">ROUND(YEARFRAC(NEET[[#This Row],[Date_of_Birth]],TODAY()),0)</f>
        <v>18</v>
      </c>
      <c r="E962" t="s">
        <v>31</v>
      </c>
      <c r="F962" t="s">
        <v>32</v>
      </c>
      <c r="G962" t="s">
        <v>25</v>
      </c>
      <c r="H962">
        <v>2</v>
      </c>
      <c r="I962">
        <v>177</v>
      </c>
      <c r="J962">
        <v>56</v>
      </c>
      <c r="K962">
        <v>135</v>
      </c>
      <c r="L962">
        <v>368</v>
      </c>
      <c r="M962">
        <v>2023</v>
      </c>
    </row>
    <row r="963" spans="1:13" x14ac:dyDescent="0.25">
      <c r="A963" t="s">
        <v>1000</v>
      </c>
      <c r="B963" t="s">
        <v>20</v>
      </c>
      <c r="C963" s="1">
        <v>37982</v>
      </c>
      <c r="D963" s="8">
        <f ca="1">ROUND(YEARFRAC(NEET[[#This Row],[Date_of_Birth]],TODAY()),0)</f>
        <v>22</v>
      </c>
      <c r="E963" t="s">
        <v>73</v>
      </c>
      <c r="F963" t="s">
        <v>15</v>
      </c>
      <c r="G963" t="s">
        <v>34</v>
      </c>
      <c r="H963">
        <v>2</v>
      </c>
      <c r="I963">
        <v>75</v>
      </c>
      <c r="J963">
        <v>43</v>
      </c>
      <c r="K963">
        <v>120</v>
      </c>
      <c r="L963">
        <v>238</v>
      </c>
      <c r="M963">
        <v>2024</v>
      </c>
    </row>
    <row r="964" spans="1:13" x14ac:dyDescent="0.25">
      <c r="A964" t="s">
        <v>1001</v>
      </c>
      <c r="B964" t="s">
        <v>13</v>
      </c>
      <c r="C964" s="1">
        <v>36665</v>
      </c>
      <c r="D964" s="8">
        <f ca="1">ROUND(YEARFRAC(NEET[[#This Row],[Date_of_Birth]],TODAY()),0)</f>
        <v>26</v>
      </c>
      <c r="E964" t="s">
        <v>14</v>
      </c>
      <c r="F964" t="s">
        <v>15</v>
      </c>
      <c r="G964" t="s">
        <v>25</v>
      </c>
      <c r="H964">
        <v>4</v>
      </c>
      <c r="I964">
        <v>91</v>
      </c>
      <c r="J964">
        <v>131</v>
      </c>
      <c r="K964">
        <v>310</v>
      </c>
      <c r="L964">
        <v>532</v>
      </c>
      <c r="M964">
        <v>2026</v>
      </c>
    </row>
    <row r="965" spans="1:13" x14ac:dyDescent="0.25">
      <c r="A965" t="s">
        <v>1002</v>
      </c>
      <c r="B965" t="s">
        <v>13</v>
      </c>
      <c r="C965" s="1">
        <v>39189</v>
      </c>
      <c r="D965" s="8">
        <f ca="1">ROUND(YEARFRAC(NEET[[#This Row],[Date_of_Birth]],TODAY()),0)</f>
        <v>19</v>
      </c>
      <c r="E965" t="s">
        <v>18</v>
      </c>
      <c r="F965" t="s">
        <v>15</v>
      </c>
      <c r="G965" t="s">
        <v>25</v>
      </c>
      <c r="H965">
        <v>1</v>
      </c>
      <c r="I965">
        <v>100</v>
      </c>
      <c r="J965">
        <v>143</v>
      </c>
      <c r="K965">
        <v>248</v>
      </c>
      <c r="L965">
        <v>491</v>
      </c>
      <c r="M965">
        <v>2023</v>
      </c>
    </row>
    <row r="966" spans="1:13" x14ac:dyDescent="0.25">
      <c r="A966" t="s">
        <v>1003</v>
      </c>
      <c r="B966" t="s">
        <v>20</v>
      </c>
      <c r="C966" s="1">
        <v>38529</v>
      </c>
      <c r="D966" s="8">
        <f ca="1">ROUND(YEARFRAC(NEET[[#This Row],[Date_of_Birth]],TODAY()),0)</f>
        <v>21</v>
      </c>
      <c r="E966" t="s">
        <v>21</v>
      </c>
      <c r="F966" t="s">
        <v>21</v>
      </c>
      <c r="G966" t="s">
        <v>16</v>
      </c>
      <c r="H966">
        <v>1</v>
      </c>
      <c r="I966">
        <v>160</v>
      </c>
      <c r="J966">
        <v>87</v>
      </c>
      <c r="K966">
        <v>71</v>
      </c>
      <c r="L966">
        <v>318</v>
      </c>
      <c r="M966">
        <v>2024</v>
      </c>
    </row>
    <row r="967" spans="1:13" x14ac:dyDescent="0.25">
      <c r="A967" t="s">
        <v>1004</v>
      </c>
      <c r="B967" t="s">
        <v>13</v>
      </c>
      <c r="C967" s="1">
        <v>38098</v>
      </c>
      <c r="D967" s="8">
        <f ca="1">ROUND(YEARFRAC(NEET[[#This Row],[Date_of_Birth]],TODAY()),0)</f>
        <v>22</v>
      </c>
      <c r="E967" t="s">
        <v>73</v>
      </c>
      <c r="F967" t="s">
        <v>15</v>
      </c>
      <c r="G967" t="s">
        <v>25</v>
      </c>
      <c r="H967">
        <v>3</v>
      </c>
      <c r="I967">
        <v>141</v>
      </c>
      <c r="J967">
        <v>106</v>
      </c>
      <c r="K967">
        <v>352</v>
      </c>
      <c r="L967">
        <v>599</v>
      </c>
      <c r="M967">
        <v>2024</v>
      </c>
    </row>
    <row r="968" spans="1:13" x14ac:dyDescent="0.25">
      <c r="A968" t="s">
        <v>1005</v>
      </c>
      <c r="B968" t="s">
        <v>13</v>
      </c>
      <c r="C968" s="1">
        <v>38186</v>
      </c>
      <c r="D968" s="8">
        <f ca="1">ROUND(YEARFRAC(NEET[[#This Row],[Date_of_Birth]],TODAY()),0)</f>
        <v>22</v>
      </c>
      <c r="E968" t="s">
        <v>31</v>
      </c>
      <c r="F968" t="s">
        <v>32</v>
      </c>
      <c r="G968" t="s">
        <v>22</v>
      </c>
      <c r="H968">
        <v>1</v>
      </c>
      <c r="I968">
        <v>35</v>
      </c>
      <c r="J968">
        <v>130</v>
      </c>
      <c r="K968">
        <v>344</v>
      </c>
      <c r="L968">
        <v>509</v>
      </c>
      <c r="M968">
        <v>2023</v>
      </c>
    </row>
    <row r="969" spans="1:13" x14ac:dyDescent="0.25">
      <c r="A969" t="s">
        <v>1006</v>
      </c>
      <c r="B969" t="s">
        <v>20</v>
      </c>
      <c r="C969" s="1">
        <v>37266</v>
      </c>
      <c r="D969" s="8">
        <f ca="1">ROUND(YEARFRAC(NEET[[#This Row],[Date_of_Birth]],TODAY()),0)</f>
        <v>24</v>
      </c>
      <c r="E969" t="s">
        <v>31</v>
      </c>
      <c r="F969" t="s">
        <v>32</v>
      </c>
      <c r="G969" t="s">
        <v>25</v>
      </c>
      <c r="H969">
        <v>1</v>
      </c>
      <c r="I969">
        <v>76</v>
      </c>
      <c r="J969">
        <v>31</v>
      </c>
      <c r="K969">
        <v>344</v>
      </c>
      <c r="L969">
        <v>451</v>
      </c>
      <c r="M969">
        <v>2024</v>
      </c>
    </row>
    <row r="970" spans="1:13" x14ac:dyDescent="0.25">
      <c r="A970" t="s">
        <v>1007</v>
      </c>
      <c r="B970" t="s">
        <v>13</v>
      </c>
      <c r="C970" s="1">
        <v>38881</v>
      </c>
      <c r="D970" s="8">
        <f ca="1">ROUND(YEARFRAC(NEET[[#This Row],[Date_of_Birth]],TODAY()),0)</f>
        <v>20</v>
      </c>
      <c r="E970" t="s">
        <v>62</v>
      </c>
      <c r="F970" t="s">
        <v>15</v>
      </c>
      <c r="G970" t="s">
        <v>25</v>
      </c>
      <c r="H970">
        <v>1</v>
      </c>
      <c r="I970">
        <v>71</v>
      </c>
      <c r="J970">
        <v>52</v>
      </c>
      <c r="K970">
        <v>347</v>
      </c>
      <c r="L970">
        <v>470</v>
      </c>
      <c r="M970">
        <v>2025</v>
      </c>
    </row>
    <row r="971" spans="1:13" x14ac:dyDescent="0.25">
      <c r="A971" t="s">
        <v>1008</v>
      </c>
      <c r="B971" t="s">
        <v>20</v>
      </c>
      <c r="C971" s="1">
        <v>38015</v>
      </c>
      <c r="D971" s="8">
        <f ca="1">ROUND(YEARFRAC(NEET[[#This Row],[Date_of_Birth]],TODAY()),0)</f>
        <v>22</v>
      </c>
      <c r="E971" t="s">
        <v>42</v>
      </c>
      <c r="F971" t="s">
        <v>15</v>
      </c>
      <c r="G971" t="s">
        <v>16</v>
      </c>
      <c r="H971">
        <v>1</v>
      </c>
      <c r="I971">
        <v>73</v>
      </c>
      <c r="J971">
        <v>138</v>
      </c>
      <c r="K971">
        <v>60</v>
      </c>
      <c r="L971">
        <v>271</v>
      </c>
      <c r="M971">
        <v>2025</v>
      </c>
    </row>
    <row r="972" spans="1:13" x14ac:dyDescent="0.25">
      <c r="A972" t="s">
        <v>1009</v>
      </c>
      <c r="B972" t="s">
        <v>20</v>
      </c>
      <c r="C972" s="1">
        <v>39225</v>
      </c>
      <c r="D972" s="8">
        <f ca="1">ROUND(YEARFRAC(NEET[[#This Row],[Date_of_Birth]],TODAY()),0)</f>
        <v>19</v>
      </c>
      <c r="E972" t="s">
        <v>42</v>
      </c>
      <c r="F972" t="s">
        <v>15</v>
      </c>
      <c r="G972" t="s">
        <v>16</v>
      </c>
      <c r="H972">
        <v>3</v>
      </c>
      <c r="I972">
        <v>143</v>
      </c>
      <c r="J972">
        <v>65</v>
      </c>
      <c r="K972">
        <v>355</v>
      </c>
      <c r="L972">
        <v>563</v>
      </c>
      <c r="M972">
        <v>2024</v>
      </c>
    </row>
    <row r="973" spans="1:13" x14ac:dyDescent="0.25">
      <c r="A973" t="s">
        <v>1010</v>
      </c>
      <c r="B973" t="s">
        <v>13</v>
      </c>
      <c r="C973" s="1">
        <v>39343</v>
      </c>
      <c r="D973" s="8">
        <f ca="1">ROUND(YEARFRAC(NEET[[#This Row],[Date_of_Birth]],TODAY()),0)</f>
        <v>19</v>
      </c>
      <c r="E973" t="s">
        <v>14</v>
      </c>
      <c r="F973" t="s">
        <v>15</v>
      </c>
      <c r="G973" t="s">
        <v>22</v>
      </c>
      <c r="H973">
        <v>3</v>
      </c>
      <c r="I973">
        <v>41</v>
      </c>
      <c r="J973">
        <v>90</v>
      </c>
      <c r="K973">
        <v>78</v>
      </c>
      <c r="L973">
        <v>209</v>
      </c>
      <c r="M973">
        <v>2024</v>
      </c>
    </row>
    <row r="974" spans="1:13" x14ac:dyDescent="0.25">
      <c r="A974" t="s">
        <v>1011</v>
      </c>
      <c r="B974" t="s">
        <v>20</v>
      </c>
      <c r="C974" s="1">
        <v>38992</v>
      </c>
      <c r="D974" s="8">
        <f ca="1">ROUND(YEARFRAC(NEET[[#This Row],[Date_of_Birth]],TODAY()),0)</f>
        <v>20</v>
      </c>
      <c r="E974" t="s">
        <v>42</v>
      </c>
      <c r="F974" t="s">
        <v>15</v>
      </c>
      <c r="G974" t="s">
        <v>16</v>
      </c>
      <c r="H974">
        <v>1</v>
      </c>
      <c r="I974">
        <v>85</v>
      </c>
      <c r="J974">
        <v>121</v>
      </c>
      <c r="K974">
        <v>202</v>
      </c>
      <c r="L974">
        <v>408</v>
      </c>
      <c r="M974">
        <v>2025</v>
      </c>
    </row>
    <row r="975" spans="1:13" x14ac:dyDescent="0.25">
      <c r="A975" t="s">
        <v>1012</v>
      </c>
      <c r="B975" t="s">
        <v>20</v>
      </c>
      <c r="C975" s="1">
        <v>37593</v>
      </c>
      <c r="D975" s="8">
        <f ca="1">ROUND(YEARFRAC(NEET[[#This Row],[Date_of_Birth]],TODAY()),0)</f>
        <v>23</v>
      </c>
      <c r="E975" t="s">
        <v>18</v>
      </c>
      <c r="F975" t="s">
        <v>15</v>
      </c>
      <c r="G975" t="s">
        <v>22</v>
      </c>
      <c r="H975">
        <v>4</v>
      </c>
      <c r="I975">
        <v>71</v>
      </c>
      <c r="J975">
        <v>132</v>
      </c>
      <c r="K975">
        <v>293</v>
      </c>
      <c r="L975">
        <v>496</v>
      </c>
      <c r="M975">
        <v>2024</v>
      </c>
    </row>
    <row r="976" spans="1:13" x14ac:dyDescent="0.25">
      <c r="A976" t="s">
        <v>1013</v>
      </c>
      <c r="B976" t="s">
        <v>20</v>
      </c>
      <c r="C976" s="1">
        <v>36815</v>
      </c>
      <c r="D976" s="8">
        <f ca="1">ROUND(YEARFRAC(NEET[[#This Row],[Date_of_Birth]],TODAY()),0)</f>
        <v>26</v>
      </c>
      <c r="E976" t="s">
        <v>21</v>
      </c>
      <c r="F976" t="s">
        <v>21</v>
      </c>
      <c r="G976" t="s">
        <v>29</v>
      </c>
      <c r="H976">
        <v>2</v>
      </c>
      <c r="I976">
        <v>98</v>
      </c>
      <c r="J976">
        <v>79</v>
      </c>
      <c r="K976">
        <v>250</v>
      </c>
      <c r="L976">
        <v>427</v>
      </c>
      <c r="M976">
        <v>2026</v>
      </c>
    </row>
    <row r="977" spans="1:13" x14ac:dyDescent="0.25">
      <c r="A977" t="s">
        <v>1014</v>
      </c>
      <c r="B977" t="s">
        <v>13</v>
      </c>
      <c r="C977" s="1">
        <v>38078</v>
      </c>
      <c r="D977" s="8">
        <f ca="1">ROUND(YEARFRAC(NEET[[#This Row],[Date_of_Birth]],TODAY()),0)</f>
        <v>22</v>
      </c>
      <c r="E977" t="s">
        <v>53</v>
      </c>
      <c r="F977" t="s">
        <v>15</v>
      </c>
      <c r="G977" t="s">
        <v>25</v>
      </c>
      <c r="H977">
        <v>4</v>
      </c>
      <c r="I977">
        <v>93</v>
      </c>
      <c r="J977">
        <v>49</v>
      </c>
      <c r="K977">
        <v>198</v>
      </c>
      <c r="L977">
        <v>340</v>
      </c>
      <c r="M977">
        <v>2025</v>
      </c>
    </row>
    <row r="978" spans="1:13" x14ac:dyDescent="0.25">
      <c r="A978" t="s">
        <v>1015</v>
      </c>
      <c r="B978" t="s">
        <v>13</v>
      </c>
      <c r="C978" s="1">
        <v>39148</v>
      </c>
      <c r="D978" s="8">
        <f ca="1">ROUND(YEARFRAC(NEET[[#This Row],[Date_of_Birth]],TODAY()),0)</f>
        <v>19</v>
      </c>
      <c r="E978" t="s">
        <v>14</v>
      </c>
      <c r="F978" t="s">
        <v>15</v>
      </c>
      <c r="G978" t="s">
        <v>25</v>
      </c>
      <c r="H978">
        <v>3</v>
      </c>
      <c r="I978">
        <v>122</v>
      </c>
      <c r="J978">
        <v>115</v>
      </c>
      <c r="K978">
        <v>199</v>
      </c>
      <c r="L978">
        <v>436</v>
      </c>
      <c r="M978">
        <v>2023</v>
      </c>
    </row>
    <row r="979" spans="1:13" x14ac:dyDescent="0.25">
      <c r="A979" t="s">
        <v>1016</v>
      </c>
      <c r="B979" t="s">
        <v>20</v>
      </c>
      <c r="C979" s="1">
        <v>38070</v>
      </c>
      <c r="D979" s="8">
        <f ca="1">ROUND(YEARFRAC(NEET[[#This Row],[Date_of_Birth]],TODAY()),0)</f>
        <v>22</v>
      </c>
      <c r="E979" t="s">
        <v>62</v>
      </c>
      <c r="F979" t="s">
        <v>15</v>
      </c>
      <c r="G979" t="s">
        <v>25</v>
      </c>
      <c r="H979">
        <v>4</v>
      </c>
      <c r="I979">
        <v>126</v>
      </c>
      <c r="J979">
        <v>56</v>
      </c>
      <c r="K979">
        <v>123</v>
      </c>
      <c r="L979">
        <v>305</v>
      </c>
      <c r="M979">
        <v>2025</v>
      </c>
    </row>
    <row r="980" spans="1:13" x14ac:dyDescent="0.25">
      <c r="A980" t="s">
        <v>1017</v>
      </c>
      <c r="B980" t="s">
        <v>13</v>
      </c>
      <c r="C980" s="1">
        <v>39395</v>
      </c>
      <c r="D980" s="8">
        <f ca="1">ROUND(YEARFRAC(NEET[[#This Row],[Date_of_Birth]],TODAY()),0)</f>
        <v>19</v>
      </c>
      <c r="E980" t="s">
        <v>27</v>
      </c>
      <c r="F980" t="s">
        <v>15</v>
      </c>
      <c r="G980" t="s">
        <v>29</v>
      </c>
      <c r="H980">
        <v>2</v>
      </c>
      <c r="I980">
        <v>102</v>
      </c>
      <c r="J980">
        <v>171</v>
      </c>
      <c r="K980">
        <v>198</v>
      </c>
      <c r="L980">
        <v>471</v>
      </c>
      <c r="M980">
        <v>2026</v>
      </c>
    </row>
    <row r="981" spans="1:13" x14ac:dyDescent="0.25">
      <c r="A981" t="s">
        <v>1018</v>
      </c>
      <c r="B981" t="s">
        <v>13</v>
      </c>
      <c r="C981" s="1">
        <v>37266</v>
      </c>
      <c r="D981" s="8">
        <f ca="1">ROUND(YEARFRAC(NEET[[#This Row],[Date_of_Birth]],TODAY()),0)</f>
        <v>24</v>
      </c>
      <c r="E981" t="s">
        <v>46</v>
      </c>
      <c r="F981" t="s">
        <v>15</v>
      </c>
      <c r="G981" t="s">
        <v>25</v>
      </c>
      <c r="H981">
        <v>3</v>
      </c>
      <c r="I981">
        <v>166</v>
      </c>
      <c r="J981">
        <v>171</v>
      </c>
      <c r="K981">
        <v>266</v>
      </c>
      <c r="L981">
        <v>603</v>
      </c>
      <c r="M981">
        <v>2024</v>
      </c>
    </row>
    <row r="982" spans="1:13" x14ac:dyDescent="0.25">
      <c r="A982" t="s">
        <v>1019</v>
      </c>
      <c r="B982" t="s">
        <v>13</v>
      </c>
      <c r="C982" s="1">
        <v>39219</v>
      </c>
      <c r="D982" s="8">
        <f ca="1">ROUND(YEARFRAC(NEET[[#This Row],[Date_of_Birth]],TODAY()),0)</f>
        <v>19</v>
      </c>
      <c r="E982" t="s">
        <v>40</v>
      </c>
      <c r="F982" t="s">
        <v>15</v>
      </c>
      <c r="G982" t="s">
        <v>22</v>
      </c>
      <c r="H982">
        <v>3</v>
      </c>
      <c r="I982">
        <v>66</v>
      </c>
      <c r="J982">
        <v>126</v>
      </c>
      <c r="K982">
        <v>350</v>
      </c>
      <c r="L982">
        <v>542</v>
      </c>
      <c r="M982">
        <v>2026</v>
      </c>
    </row>
    <row r="983" spans="1:13" x14ac:dyDescent="0.25">
      <c r="A983" t="s">
        <v>1020</v>
      </c>
      <c r="B983" t="s">
        <v>20</v>
      </c>
      <c r="C983" s="1">
        <v>39420</v>
      </c>
      <c r="D983" s="8">
        <f ca="1">ROUND(YEARFRAC(NEET[[#This Row],[Date_of_Birth]],TODAY()),0)</f>
        <v>18</v>
      </c>
      <c r="E983" t="s">
        <v>73</v>
      </c>
      <c r="F983" t="s">
        <v>15</v>
      </c>
      <c r="G983" t="s">
        <v>34</v>
      </c>
      <c r="H983">
        <v>3</v>
      </c>
      <c r="I983">
        <v>76</v>
      </c>
      <c r="J983">
        <v>142</v>
      </c>
      <c r="K983">
        <v>241</v>
      </c>
      <c r="L983">
        <v>459</v>
      </c>
      <c r="M983">
        <v>2024</v>
      </c>
    </row>
    <row r="984" spans="1:13" x14ac:dyDescent="0.25">
      <c r="A984" t="s">
        <v>1021</v>
      </c>
      <c r="B984" t="s">
        <v>13</v>
      </c>
      <c r="C984" s="1">
        <v>37776</v>
      </c>
      <c r="D984" s="8">
        <f ca="1">ROUND(YEARFRAC(NEET[[#This Row],[Date_of_Birth]],TODAY()),0)</f>
        <v>23</v>
      </c>
      <c r="E984" t="s">
        <v>21</v>
      </c>
      <c r="F984" t="s">
        <v>21</v>
      </c>
      <c r="G984" t="s">
        <v>25</v>
      </c>
      <c r="H984">
        <v>1</v>
      </c>
      <c r="I984">
        <v>52</v>
      </c>
      <c r="J984">
        <v>108</v>
      </c>
      <c r="K984">
        <v>268</v>
      </c>
      <c r="L984">
        <v>428</v>
      </c>
      <c r="M984">
        <v>2024</v>
      </c>
    </row>
    <row r="985" spans="1:13" x14ac:dyDescent="0.25">
      <c r="A985" t="s">
        <v>1022</v>
      </c>
      <c r="B985" t="s">
        <v>20</v>
      </c>
      <c r="C985" s="1">
        <v>36909</v>
      </c>
      <c r="D985" s="8">
        <f ca="1">ROUND(YEARFRAC(NEET[[#This Row],[Date_of_Birth]],TODAY()),0)</f>
        <v>25</v>
      </c>
      <c r="E985" t="s">
        <v>40</v>
      </c>
      <c r="F985" t="s">
        <v>15</v>
      </c>
      <c r="G985" t="s">
        <v>34</v>
      </c>
      <c r="H985">
        <v>1</v>
      </c>
      <c r="I985">
        <v>177</v>
      </c>
      <c r="J985">
        <v>44</v>
      </c>
      <c r="K985">
        <v>103</v>
      </c>
      <c r="L985">
        <v>324</v>
      </c>
      <c r="M985">
        <v>2024</v>
      </c>
    </row>
    <row r="986" spans="1:13" x14ac:dyDescent="0.25">
      <c r="A986" t="s">
        <v>1023</v>
      </c>
      <c r="B986" t="s">
        <v>13</v>
      </c>
      <c r="C986" s="1">
        <v>38490</v>
      </c>
      <c r="D986" s="8">
        <f ca="1">ROUND(YEARFRAC(NEET[[#This Row],[Date_of_Birth]],TODAY()),0)</f>
        <v>21</v>
      </c>
      <c r="E986" t="s">
        <v>73</v>
      </c>
      <c r="F986" t="s">
        <v>15</v>
      </c>
      <c r="G986" t="s">
        <v>25</v>
      </c>
      <c r="H986">
        <v>2</v>
      </c>
      <c r="I986">
        <v>161</v>
      </c>
      <c r="J986">
        <v>166</v>
      </c>
      <c r="K986">
        <v>123</v>
      </c>
      <c r="L986">
        <v>450</v>
      </c>
      <c r="M986">
        <v>2026</v>
      </c>
    </row>
    <row r="987" spans="1:13" x14ac:dyDescent="0.25">
      <c r="A987" t="s">
        <v>1024</v>
      </c>
      <c r="B987" t="s">
        <v>20</v>
      </c>
      <c r="C987" s="1">
        <v>39403</v>
      </c>
      <c r="D987" s="8">
        <f ca="1">ROUND(YEARFRAC(NEET[[#This Row],[Date_of_Birth]],TODAY()),0)</f>
        <v>19</v>
      </c>
      <c r="E987" t="s">
        <v>42</v>
      </c>
      <c r="F987" t="s">
        <v>15</v>
      </c>
      <c r="G987" t="s">
        <v>16</v>
      </c>
      <c r="H987">
        <v>2</v>
      </c>
      <c r="I987">
        <v>118</v>
      </c>
      <c r="J987">
        <v>92</v>
      </c>
      <c r="K987">
        <v>330</v>
      </c>
      <c r="L987">
        <v>540</v>
      </c>
      <c r="M987">
        <v>2024</v>
      </c>
    </row>
    <row r="988" spans="1:13" x14ac:dyDescent="0.25">
      <c r="A988" t="s">
        <v>1025</v>
      </c>
      <c r="B988" t="s">
        <v>13</v>
      </c>
      <c r="C988" s="1">
        <v>37242</v>
      </c>
      <c r="D988" s="8">
        <f ca="1">ROUND(YEARFRAC(NEET[[#This Row],[Date_of_Birth]],TODAY()),0)</f>
        <v>24</v>
      </c>
      <c r="E988" t="s">
        <v>14</v>
      </c>
      <c r="F988" t="s">
        <v>15</v>
      </c>
      <c r="G988" t="s">
        <v>34</v>
      </c>
      <c r="H988">
        <v>4</v>
      </c>
      <c r="I988">
        <v>123</v>
      </c>
      <c r="J988">
        <v>64</v>
      </c>
      <c r="K988">
        <v>323</v>
      </c>
      <c r="L988">
        <v>510</v>
      </c>
      <c r="M988">
        <v>2026</v>
      </c>
    </row>
    <row r="989" spans="1:13" x14ac:dyDescent="0.25">
      <c r="A989" t="s">
        <v>1026</v>
      </c>
      <c r="B989" t="s">
        <v>20</v>
      </c>
      <c r="C989" s="1">
        <v>37224</v>
      </c>
      <c r="D989" s="8">
        <f ca="1">ROUND(YEARFRAC(NEET[[#This Row],[Date_of_Birth]],TODAY()),0)</f>
        <v>24</v>
      </c>
      <c r="E989" t="s">
        <v>46</v>
      </c>
      <c r="F989" t="s">
        <v>15</v>
      </c>
      <c r="G989" t="s">
        <v>34</v>
      </c>
      <c r="H989">
        <v>3</v>
      </c>
      <c r="I989">
        <v>58</v>
      </c>
      <c r="J989">
        <v>116</v>
      </c>
      <c r="K989">
        <v>187</v>
      </c>
      <c r="L989">
        <v>361</v>
      </c>
      <c r="M989">
        <v>2025</v>
      </c>
    </row>
    <row r="990" spans="1:13" x14ac:dyDescent="0.25">
      <c r="A990" t="s">
        <v>1027</v>
      </c>
      <c r="B990" t="s">
        <v>20</v>
      </c>
      <c r="C990" s="1">
        <v>37610</v>
      </c>
      <c r="D990" s="8">
        <f ca="1">ROUND(YEARFRAC(NEET[[#This Row],[Date_of_Birth]],TODAY()),0)</f>
        <v>23</v>
      </c>
      <c r="E990" t="s">
        <v>62</v>
      </c>
      <c r="F990" t="s">
        <v>15</v>
      </c>
      <c r="G990" t="s">
        <v>34</v>
      </c>
      <c r="H990">
        <v>1</v>
      </c>
      <c r="I990">
        <v>30</v>
      </c>
      <c r="J990">
        <v>175</v>
      </c>
      <c r="K990">
        <v>261</v>
      </c>
      <c r="L990">
        <v>466</v>
      </c>
      <c r="M990">
        <v>2026</v>
      </c>
    </row>
    <row r="991" spans="1:13" x14ac:dyDescent="0.25">
      <c r="A991" t="s">
        <v>1028</v>
      </c>
      <c r="B991" t="s">
        <v>20</v>
      </c>
      <c r="C991" s="1">
        <v>36761</v>
      </c>
      <c r="D991" s="8">
        <f ca="1">ROUND(YEARFRAC(NEET[[#This Row],[Date_of_Birth]],TODAY()),0)</f>
        <v>26</v>
      </c>
      <c r="E991" t="s">
        <v>46</v>
      </c>
      <c r="F991" t="s">
        <v>15</v>
      </c>
      <c r="G991" t="s">
        <v>25</v>
      </c>
      <c r="H991">
        <v>1</v>
      </c>
      <c r="I991">
        <v>31</v>
      </c>
      <c r="J991">
        <v>147</v>
      </c>
      <c r="K991">
        <v>228</v>
      </c>
      <c r="L991">
        <v>406</v>
      </c>
      <c r="M991">
        <v>2025</v>
      </c>
    </row>
    <row r="992" spans="1:13" x14ac:dyDescent="0.25">
      <c r="A992" t="s">
        <v>1029</v>
      </c>
      <c r="B992" t="s">
        <v>20</v>
      </c>
      <c r="C992" s="1">
        <v>39485</v>
      </c>
      <c r="D992" s="8">
        <f ca="1">ROUND(YEARFRAC(NEET[[#This Row],[Date_of_Birth]],TODAY()),0)</f>
        <v>18</v>
      </c>
      <c r="E992" t="s">
        <v>40</v>
      </c>
      <c r="F992" t="s">
        <v>15</v>
      </c>
      <c r="G992" t="s">
        <v>22</v>
      </c>
      <c r="H992">
        <v>4</v>
      </c>
      <c r="I992">
        <v>132</v>
      </c>
      <c r="J992">
        <v>120</v>
      </c>
      <c r="K992">
        <v>64</v>
      </c>
      <c r="L992">
        <v>316</v>
      </c>
      <c r="M992">
        <v>2023</v>
      </c>
    </row>
    <row r="993" spans="1:13" x14ac:dyDescent="0.25">
      <c r="A993" t="s">
        <v>1030</v>
      </c>
      <c r="B993" t="s">
        <v>13</v>
      </c>
      <c r="C993" s="1">
        <v>38693</v>
      </c>
      <c r="D993" s="8">
        <f ca="1">ROUND(YEARFRAC(NEET[[#This Row],[Date_of_Birth]],TODAY()),0)</f>
        <v>20</v>
      </c>
      <c r="E993" t="s">
        <v>42</v>
      </c>
      <c r="F993" t="s">
        <v>15</v>
      </c>
      <c r="G993" t="s">
        <v>29</v>
      </c>
      <c r="H993">
        <v>2</v>
      </c>
      <c r="I993">
        <v>69</v>
      </c>
      <c r="J993">
        <v>135</v>
      </c>
      <c r="K993">
        <v>123</v>
      </c>
      <c r="L993">
        <v>327</v>
      </c>
      <c r="M993">
        <v>2024</v>
      </c>
    </row>
    <row r="994" spans="1:13" x14ac:dyDescent="0.25">
      <c r="A994" t="s">
        <v>1031</v>
      </c>
      <c r="B994" t="s">
        <v>13</v>
      </c>
      <c r="C994" s="1">
        <v>38453</v>
      </c>
      <c r="D994" s="8">
        <f ca="1">ROUND(YEARFRAC(NEET[[#This Row],[Date_of_Birth]],TODAY()),0)</f>
        <v>21</v>
      </c>
      <c r="E994" t="s">
        <v>18</v>
      </c>
      <c r="F994" t="s">
        <v>15</v>
      </c>
      <c r="G994" t="s">
        <v>25</v>
      </c>
      <c r="H994">
        <v>3</v>
      </c>
      <c r="I994">
        <v>125</v>
      </c>
      <c r="J994">
        <v>106</v>
      </c>
      <c r="K994">
        <v>246</v>
      </c>
      <c r="L994">
        <v>477</v>
      </c>
      <c r="M994">
        <v>2026</v>
      </c>
    </row>
    <row r="995" spans="1:13" x14ac:dyDescent="0.25">
      <c r="A995" t="s">
        <v>1032</v>
      </c>
      <c r="B995" t="s">
        <v>20</v>
      </c>
      <c r="C995" s="1">
        <v>39214</v>
      </c>
      <c r="D995" s="8">
        <f ca="1">ROUND(YEARFRAC(NEET[[#This Row],[Date_of_Birth]],TODAY()),0)</f>
        <v>19</v>
      </c>
      <c r="E995" t="s">
        <v>31</v>
      </c>
      <c r="F995" t="s">
        <v>32</v>
      </c>
      <c r="G995" t="s">
        <v>29</v>
      </c>
      <c r="H995">
        <v>1</v>
      </c>
      <c r="I995">
        <v>142</v>
      </c>
      <c r="J995">
        <v>71</v>
      </c>
      <c r="K995">
        <v>131</v>
      </c>
      <c r="L995">
        <v>344</v>
      </c>
      <c r="M995">
        <v>2024</v>
      </c>
    </row>
    <row r="996" spans="1:13" x14ac:dyDescent="0.25">
      <c r="A996" t="s">
        <v>1033</v>
      </c>
      <c r="B996" t="s">
        <v>20</v>
      </c>
      <c r="C996" s="1">
        <v>36979</v>
      </c>
      <c r="D996" s="8">
        <f ca="1">ROUND(YEARFRAC(NEET[[#This Row],[Date_of_Birth]],TODAY()),0)</f>
        <v>25</v>
      </c>
      <c r="E996" t="s">
        <v>62</v>
      </c>
      <c r="F996" t="s">
        <v>15</v>
      </c>
      <c r="G996" t="s">
        <v>25</v>
      </c>
      <c r="H996">
        <v>3</v>
      </c>
      <c r="I996">
        <v>102</v>
      </c>
      <c r="J996">
        <v>40</v>
      </c>
      <c r="K996">
        <v>128</v>
      </c>
      <c r="L996">
        <v>270</v>
      </c>
      <c r="M996">
        <v>2024</v>
      </c>
    </row>
    <row r="997" spans="1:13" x14ac:dyDescent="0.25">
      <c r="A997" t="s">
        <v>1034</v>
      </c>
      <c r="B997" t="s">
        <v>20</v>
      </c>
      <c r="C997" s="1">
        <v>39254</v>
      </c>
      <c r="D997" s="8">
        <f ca="1">ROUND(YEARFRAC(NEET[[#This Row],[Date_of_Birth]],TODAY()),0)</f>
        <v>19</v>
      </c>
      <c r="E997" t="s">
        <v>62</v>
      </c>
      <c r="F997" t="s">
        <v>15</v>
      </c>
      <c r="G997" t="s">
        <v>22</v>
      </c>
      <c r="H997">
        <v>4</v>
      </c>
      <c r="I997">
        <v>152</v>
      </c>
      <c r="J997">
        <v>98</v>
      </c>
      <c r="K997">
        <v>120</v>
      </c>
      <c r="L997">
        <v>370</v>
      </c>
      <c r="M997">
        <v>2025</v>
      </c>
    </row>
    <row r="998" spans="1:13" x14ac:dyDescent="0.25">
      <c r="A998" t="s">
        <v>1035</v>
      </c>
      <c r="B998" t="s">
        <v>13</v>
      </c>
      <c r="C998" s="1">
        <v>39602</v>
      </c>
      <c r="D998" s="8">
        <f ca="1">ROUND(YEARFRAC(NEET[[#This Row],[Date_of_Birth]],TODAY()),0)</f>
        <v>18</v>
      </c>
      <c r="E998" t="s">
        <v>69</v>
      </c>
      <c r="F998" t="s">
        <v>70</v>
      </c>
      <c r="G998" t="s">
        <v>25</v>
      </c>
      <c r="H998">
        <v>1</v>
      </c>
      <c r="I998">
        <v>132</v>
      </c>
      <c r="J998">
        <v>158</v>
      </c>
      <c r="K998">
        <v>259</v>
      </c>
      <c r="L998">
        <v>549</v>
      </c>
      <c r="M998">
        <v>2024</v>
      </c>
    </row>
    <row r="999" spans="1:13" x14ac:dyDescent="0.25">
      <c r="A999" t="s">
        <v>1036</v>
      </c>
      <c r="B999" t="s">
        <v>20</v>
      </c>
      <c r="C999" s="1">
        <v>37163</v>
      </c>
      <c r="D999" s="8">
        <f ca="1">ROUND(YEARFRAC(NEET[[#This Row],[Date_of_Birth]],TODAY()),0)</f>
        <v>25</v>
      </c>
      <c r="E999" t="s">
        <v>46</v>
      </c>
      <c r="F999" t="s">
        <v>15</v>
      </c>
      <c r="G999" t="s">
        <v>16</v>
      </c>
      <c r="H999">
        <v>4</v>
      </c>
      <c r="I999">
        <v>158</v>
      </c>
      <c r="J999">
        <v>33</v>
      </c>
      <c r="K999">
        <v>181</v>
      </c>
      <c r="L999">
        <v>372</v>
      </c>
      <c r="M999">
        <v>2023</v>
      </c>
    </row>
    <row r="1000" spans="1:13" x14ac:dyDescent="0.25">
      <c r="A1000" t="s">
        <v>1037</v>
      </c>
      <c r="B1000" t="s">
        <v>20</v>
      </c>
      <c r="C1000" s="1">
        <v>38305</v>
      </c>
      <c r="D1000" s="8">
        <f ca="1">ROUND(YEARFRAC(NEET[[#This Row],[Date_of_Birth]],TODAY()),0)</f>
        <v>22</v>
      </c>
      <c r="E1000" t="s">
        <v>73</v>
      </c>
      <c r="F1000" t="s">
        <v>15</v>
      </c>
      <c r="G1000" t="s">
        <v>16</v>
      </c>
      <c r="H1000">
        <v>2</v>
      </c>
      <c r="I1000">
        <v>104</v>
      </c>
      <c r="J1000">
        <v>102</v>
      </c>
      <c r="K1000">
        <v>308</v>
      </c>
      <c r="L1000">
        <v>514</v>
      </c>
      <c r="M1000">
        <v>2024</v>
      </c>
    </row>
    <row r="1001" spans="1:13" x14ac:dyDescent="0.25">
      <c r="A1001" t="s">
        <v>1038</v>
      </c>
      <c r="B1001" t="s">
        <v>20</v>
      </c>
      <c r="C1001" s="1">
        <v>39513</v>
      </c>
      <c r="D1001" s="8">
        <f ca="1">ROUND(YEARFRAC(NEET[[#This Row],[Date_of_Birth]],TODAY()),0)</f>
        <v>18</v>
      </c>
      <c r="E1001" t="s">
        <v>42</v>
      </c>
      <c r="F1001" t="s">
        <v>15</v>
      </c>
      <c r="G1001" t="s">
        <v>34</v>
      </c>
      <c r="H1001">
        <v>2</v>
      </c>
      <c r="I1001">
        <v>77</v>
      </c>
      <c r="J1001">
        <v>93</v>
      </c>
      <c r="K1001">
        <v>203</v>
      </c>
      <c r="L1001">
        <v>373</v>
      </c>
      <c r="M1001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92FA7-0000-4796-9294-7AD94AC11791}">
  <dimension ref="B2:L20"/>
  <sheetViews>
    <sheetView topLeftCell="B1" workbookViewId="0">
      <selection activeCell="F2" sqref="F2"/>
    </sheetView>
  </sheetViews>
  <sheetFormatPr defaultRowHeight="15" x14ac:dyDescent="0.25"/>
  <cols>
    <col min="2" max="2" width="21.7109375" customWidth="1"/>
    <col min="3" max="3" width="12.7109375" bestFit="1" customWidth="1"/>
    <col min="4" max="4" width="9" customWidth="1"/>
    <col min="5" max="5" width="22.7109375" customWidth="1"/>
    <col min="6" max="6" width="20.85546875" customWidth="1"/>
    <col min="7" max="7" width="9.85546875" customWidth="1"/>
    <col min="8" max="8" width="21.85546875" customWidth="1"/>
    <col min="9" max="9" width="12.7109375" bestFit="1" customWidth="1"/>
    <col min="10" max="10" width="9.28515625" customWidth="1"/>
    <col min="11" max="11" width="23.28515625" bestFit="1" customWidth="1"/>
    <col min="12" max="12" width="12.7109375" bestFit="1" customWidth="1"/>
  </cols>
  <sheetData>
    <row r="2" spans="2:12" ht="15.75" thickBot="1" x14ac:dyDescent="0.3"/>
    <row r="3" spans="2:12" x14ac:dyDescent="0.25">
      <c r="B3" s="11" t="s">
        <v>1055</v>
      </c>
      <c r="C3" s="12"/>
      <c r="E3" s="11" t="s">
        <v>1057</v>
      </c>
      <c r="F3" s="12"/>
      <c r="H3" s="11" t="s">
        <v>1056</v>
      </c>
      <c r="I3" s="12"/>
      <c r="K3" s="11" t="s">
        <v>1058</v>
      </c>
      <c r="L3" s="12"/>
    </row>
    <row r="4" spans="2:12" x14ac:dyDescent="0.25">
      <c r="B4" s="2"/>
      <c r="C4" s="3"/>
      <c r="E4" s="2"/>
      <c r="F4" s="3"/>
      <c r="H4" s="2"/>
      <c r="I4" s="3"/>
      <c r="K4" s="2"/>
      <c r="L4" s="3"/>
    </row>
    <row r="5" spans="2:12" x14ac:dyDescent="0.25">
      <c r="B5" s="2" t="s">
        <v>1039</v>
      </c>
      <c r="C5" s="3">
        <v>105.39139139139139</v>
      </c>
      <c r="E5" s="2" t="s">
        <v>1039</v>
      </c>
      <c r="F5" s="3">
        <v>106.23523523523524</v>
      </c>
      <c r="H5" s="2" t="s">
        <v>1039</v>
      </c>
      <c r="I5" s="3">
        <v>208.5995995995996</v>
      </c>
      <c r="K5" s="2" t="s">
        <v>1039</v>
      </c>
      <c r="L5" s="3">
        <v>420.22622622622623</v>
      </c>
    </row>
    <row r="6" spans="2:12" x14ac:dyDescent="0.25">
      <c r="B6" s="2" t="s">
        <v>1040</v>
      </c>
      <c r="C6" s="3">
        <v>1.3666064063766403</v>
      </c>
      <c r="E6" s="2" t="s">
        <v>1040</v>
      </c>
      <c r="F6" s="3">
        <v>1.3502702553740262</v>
      </c>
      <c r="H6" s="2" t="s">
        <v>1040</v>
      </c>
      <c r="I6" s="3">
        <v>2.7729587740040587</v>
      </c>
      <c r="K6" s="2" t="s">
        <v>1040</v>
      </c>
      <c r="L6" s="3">
        <v>3.4069663804895964</v>
      </c>
    </row>
    <row r="7" spans="2:12" x14ac:dyDescent="0.25">
      <c r="B7" s="2" t="s">
        <v>1041</v>
      </c>
      <c r="C7" s="3">
        <v>105</v>
      </c>
      <c r="E7" s="2" t="s">
        <v>1041</v>
      </c>
      <c r="F7" s="3">
        <v>107</v>
      </c>
      <c r="H7" s="2" t="s">
        <v>1041</v>
      </c>
      <c r="I7" s="3">
        <v>207</v>
      </c>
      <c r="K7" s="2" t="s">
        <v>1041</v>
      </c>
      <c r="L7" s="3">
        <v>422</v>
      </c>
    </row>
    <row r="8" spans="2:12" x14ac:dyDescent="0.25">
      <c r="B8" s="2" t="s">
        <v>1042</v>
      </c>
      <c r="C8" s="3">
        <v>112</v>
      </c>
      <c r="E8" s="2" t="s">
        <v>1042</v>
      </c>
      <c r="F8" s="3">
        <v>146</v>
      </c>
      <c r="H8" s="2" t="s">
        <v>1042</v>
      </c>
      <c r="I8" s="3">
        <v>88</v>
      </c>
      <c r="K8" s="2" t="s">
        <v>1042</v>
      </c>
      <c r="L8" s="3">
        <v>540</v>
      </c>
    </row>
    <row r="9" spans="2:12" x14ac:dyDescent="0.25">
      <c r="B9" s="2" t="s">
        <v>1043</v>
      </c>
      <c r="C9" s="3">
        <v>43.194275742043935</v>
      </c>
      <c r="E9" s="2" t="s">
        <v>1043</v>
      </c>
      <c r="F9" s="3">
        <v>42.677939650190353</v>
      </c>
      <c r="H9" s="2" t="s">
        <v>1043</v>
      </c>
      <c r="I9" s="3">
        <v>87.64480054152537</v>
      </c>
      <c r="K9" s="2" t="s">
        <v>1043</v>
      </c>
      <c r="L9" s="3">
        <v>107.68385439734499</v>
      </c>
    </row>
    <row r="10" spans="2:12" x14ac:dyDescent="0.25">
      <c r="B10" s="2" t="s">
        <v>1044</v>
      </c>
      <c r="C10" s="3">
        <v>1865.7454568797252</v>
      </c>
      <c r="E10" s="2" t="s">
        <v>1044</v>
      </c>
      <c r="F10" s="3">
        <v>1821.4065327852898</v>
      </c>
      <c r="H10" s="2" t="s">
        <v>1044</v>
      </c>
      <c r="I10" s="3">
        <v>7681.6110619637657</v>
      </c>
      <c r="K10" s="2" t="s">
        <v>1044</v>
      </c>
      <c r="L10" s="3">
        <v>11595.812497868596</v>
      </c>
    </row>
    <row r="11" spans="2:12" x14ac:dyDescent="0.25">
      <c r="B11" s="2" t="s">
        <v>1045</v>
      </c>
      <c r="C11" s="3">
        <v>-1.171709366067277</v>
      </c>
      <c r="E11" s="2" t="s">
        <v>1045</v>
      </c>
      <c r="F11" s="3">
        <v>-1.1881560992644953</v>
      </c>
      <c r="H11" s="2" t="s">
        <v>1045</v>
      </c>
      <c r="I11" s="3">
        <v>-1.2312508907832502</v>
      </c>
      <c r="K11" s="2" t="s">
        <v>1045</v>
      </c>
      <c r="L11" s="3">
        <v>-0.64275747215741941</v>
      </c>
    </row>
    <row r="12" spans="2:12" x14ac:dyDescent="0.25">
      <c r="B12" s="2" t="s">
        <v>1046</v>
      </c>
      <c r="C12" s="3">
        <v>-1.2333736617884687E-3</v>
      </c>
      <c r="E12" s="2" t="s">
        <v>1046</v>
      </c>
      <c r="F12" s="3">
        <v>-3.046881728418576E-2</v>
      </c>
      <c r="H12" s="2" t="s">
        <v>1046</v>
      </c>
      <c r="I12" s="3">
        <v>2.2617603138130212E-2</v>
      </c>
      <c r="K12" s="2" t="s">
        <v>1046</v>
      </c>
      <c r="L12" s="3">
        <v>-5.863933823140325E-2</v>
      </c>
    </row>
    <row r="13" spans="2:12" x14ac:dyDescent="0.25">
      <c r="B13" s="2" t="s">
        <v>1047</v>
      </c>
      <c r="C13" s="3">
        <v>150</v>
      </c>
      <c r="E13" s="2" t="s">
        <v>1047</v>
      </c>
      <c r="F13" s="3">
        <v>150</v>
      </c>
      <c r="H13" s="2" t="s">
        <v>1047</v>
      </c>
      <c r="I13" s="3">
        <v>300</v>
      </c>
      <c r="K13" s="2" t="s">
        <v>1047</v>
      </c>
      <c r="L13" s="3">
        <v>528</v>
      </c>
    </row>
    <row r="14" spans="2:12" x14ac:dyDescent="0.25">
      <c r="B14" s="2" t="s">
        <v>1048</v>
      </c>
      <c r="C14" s="3">
        <v>30</v>
      </c>
      <c r="E14" s="2" t="s">
        <v>1048</v>
      </c>
      <c r="F14" s="3">
        <v>30</v>
      </c>
      <c r="H14" s="2" t="s">
        <v>1048</v>
      </c>
      <c r="I14" s="3">
        <v>60</v>
      </c>
      <c r="K14" s="2" t="s">
        <v>1048</v>
      </c>
      <c r="L14" s="3">
        <v>145</v>
      </c>
    </row>
    <row r="15" spans="2:12" x14ac:dyDescent="0.25">
      <c r="B15" s="2" t="s">
        <v>1049</v>
      </c>
      <c r="C15" s="3">
        <v>180</v>
      </c>
      <c r="E15" s="2" t="s">
        <v>1049</v>
      </c>
      <c r="F15" s="3">
        <v>180</v>
      </c>
      <c r="H15" s="2" t="s">
        <v>1049</v>
      </c>
      <c r="I15" s="3">
        <v>360</v>
      </c>
      <c r="K15" s="2" t="s">
        <v>1049</v>
      </c>
      <c r="L15" s="3">
        <v>673</v>
      </c>
    </row>
    <row r="16" spans="2:12" x14ac:dyDescent="0.25">
      <c r="B16" s="2" t="s">
        <v>1050</v>
      </c>
      <c r="C16" s="3">
        <v>105286</v>
      </c>
      <c r="E16" s="2" t="s">
        <v>1050</v>
      </c>
      <c r="F16" s="3">
        <v>106129</v>
      </c>
      <c r="H16" s="2" t="s">
        <v>1050</v>
      </c>
      <c r="I16" s="3">
        <v>208391</v>
      </c>
      <c r="K16" s="2" t="s">
        <v>1050</v>
      </c>
      <c r="L16" s="3">
        <v>419806</v>
      </c>
    </row>
    <row r="17" spans="2:12" x14ac:dyDescent="0.25">
      <c r="B17" s="2" t="s">
        <v>1051</v>
      </c>
      <c r="C17" s="3">
        <v>999</v>
      </c>
      <c r="E17" s="2" t="s">
        <v>1051</v>
      </c>
      <c r="F17" s="3">
        <v>999</v>
      </c>
      <c r="H17" s="2" t="s">
        <v>1051</v>
      </c>
      <c r="I17" s="3">
        <v>999</v>
      </c>
      <c r="K17" s="2" t="s">
        <v>1051</v>
      </c>
      <c r="L17" s="3">
        <v>999</v>
      </c>
    </row>
    <row r="18" spans="2:12" x14ac:dyDescent="0.25">
      <c r="B18" s="2" t="s">
        <v>1052</v>
      </c>
      <c r="C18" s="3">
        <v>180</v>
      </c>
      <c r="E18" s="2" t="s">
        <v>1052</v>
      </c>
      <c r="F18" s="3">
        <v>180</v>
      </c>
      <c r="H18" s="2" t="s">
        <v>1052</v>
      </c>
      <c r="I18" s="3">
        <v>360</v>
      </c>
      <c r="K18" s="2" t="s">
        <v>1052</v>
      </c>
      <c r="L18" s="3">
        <v>673</v>
      </c>
    </row>
    <row r="19" spans="2:12" x14ac:dyDescent="0.25">
      <c r="B19" s="2" t="s">
        <v>1053</v>
      </c>
      <c r="C19" s="3">
        <v>30</v>
      </c>
      <c r="E19" s="2" t="s">
        <v>1053</v>
      </c>
      <c r="F19" s="3">
        <v>30</v>
      </c>
      <c r="H19" s="2" t="s">
        <v>1053</v>
      </c>
      <c r="I19" s="3">
        <v>60</v>
      </c>
      <c r="K19" s="2" t="s">
        <v>1053</v>
      </c>
      <c r="L19" s="3">
        <v>145</v>
      </c>
    </row>
    <row r="20" spans="2:12" ht="15.75" thickBot="1" x14ac:dyDescent="0.3">
      <c r="B20" s="4" t="s">
        <v>1054</v>
      </c>
      <c r="C20" s="5">
        <v>2.6817516717530232</v>
      </c>
      <c r="E20" s="4" t="s">
        <v>1054</v>
      </c>
      <c r="F20" s="5">
        <v>2.6496945263621829</v>
      </c>
      <c r="H20" s="4" t="s">
        <v>1054</v>
      </c>
      <c r="I20" s="5">
        <v>5.4414985859784641</v>
      </c>
      <c r="K20" s="4" t="s">
        <v>1054</v>
      </c>
      <c r="L20" s="5">
        <v>6.6856395110197084</v>
      </c>
    </row>
  </sheetData>
  <mergeCells count="4">
    <mergeCell ref="E3:F3"/>
    <mergeCell ref="H3:I3"/>
    <mergeCell ref="K3:L3"/>
    <mergeCell ref="B3: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37E5-4F50-406D-9620-CC0D009DA4E9}">
  <dimension ref="B1:FG19"/>
  <sheetViews>
    <sheetView topLeftCell="A4" workbookViewId="0">
      <selection activeCell="C13" sqref="C13"/>
    </sheetView>
  </sheetViews>
  <sheetFormatPr defaultRowHeight="15" x14ac:dyDescent="0.25"/>
  <cols>
    <col min="2" max="2" width="13.140625" bestFit="1" customWidth="1"/>
    <col min="3" max="3" width="26.42578125" bestFit="1" customWidth="1"/>
    <col min="4" max="4" width="6.28515625" customWidth="1"/>
    <col min="5" max="5" width="7.85546875" customWidth="1"/>
    <col min="6" max="6" width="16.5703125" bestFit="1" customWidth="1"/>
    <col min="7" max="7" width="16.28515625" bestFit="1" customWidth="1"/>
    <col min="8" max="8" width="5.5703125" bestFit="1" customWidth="1"/>
    <col min="9" max="9" width="11.28515625" bestFit="1" customWidth="1"/>
    <col min="11" max="11" width="13.140625" bestFit="1" customWidth="1"/>
    <col min="12" max="12" width="22.85546875" bestFit="1" customWidth="1"/>
    <col min="13" max="13" width="22.5703125" bestFit="1" customWidth="1"/>
    <col min="14" max="14" width="14" customWidth="1"/>
    <col min="15" max="15" width="13.140625" bestFit="1" customWidth="1"/>
    <col min="16" max="16" width="25" bestFit="1" customWidth="1"/>
    <col min="17" max="17" width="24.85546875" bestFit="1" customWidth="1"/>
    <col min="18" max="18" width="27.5703125" bestFit="1" customWidth="1"/>
    <col min="19" max="19" width="15.42578125" customWidth="1"/>
    <col min="20" max="20" width="24.85546875" bestFit="1" customWidth="1"/>
    <col min="21" max="21" width="27.5703125" bestFit="1" customWidth="1"/>
    <col min="22" max="22" width="30.140625" bestFit="1" customWidth="1"/>
    <col min="23" max="23" width="30" bestFit="1" customWidth="1"/>
    <col min="24" max="24" width="32.5703125" bestFit="1" customWidth="1"/>
    <col min="25" max="302" width="16.28515625" bestFit="1" customWidth="1"/>
    <col min="303" max="303" width="11.28515625" bestFit="1" customWidth="1"/>
    <col min="304" max="311" width="4.85546875" bestFit="1" customWidth="1"/>
    <col min="312" max="312" width="7.85546875" bestFit="1" customWidth="1"/>
    <col min="313" max="319" width="4.85546875" bestFit="1" customWidth="1"/>
    <col min="320" max="320" width="7.85546875" bestFit="1" customWidth="1"/>
    <col min="321" max="329" width="4.85546875" bestFit="1" customWidth="1"/>
    <col min="330" max="330" width="7.85546875" bestFit="1" customWidth="1"/>
    <col min="331" max="338" width="4.85546875" bestFit="1" customWidth="1"/>
    <col min="339" max="339" width="7.85546875" bestFit="1" customWidth="1"/>
    <col min="340" max="347" width="4.85546875" bestFit="1" customWidth="1"/>
    <col min="348" max="348" width="7.85546875" bestFit="1" customWidth="1"/>
    <col min="349" max="353" width="4.85546875" bestFit="1" customWidth="1"/>
    <col min="354" max="354" width="7.85546875" bestFit="1" customWidth="1"/>
    <col min="355" max="358" width="4.85546875" bestFit="1" customWidth="1"/>
    <col min="359" max="359" width="7.85546875" bestFit="1" customWidth="1"/>
    <col min="360" max="368" width="4.85546875" bestFit="1" customWidth="1"/>
    <col min="369" max="369" width="7.85546875" bestFit="1" customWidth="1"/>
    <col min="370" max="372" width="4.85546875" bestFit="1" customWidth="1"/>
    <col min="373" max="373" width="7.85546875" bestFit="1" customWidth="1"/>
    <col min="374" max="379" width="4.85546875" bestFit="1" customWidth="1"/>
    <col min="380" max="380" width="7.85546875" bestFit="1" customWidth="1"/>
    <col min="381" max="390" width="4.85546875" bestFit="1" customWidth="1"/>
    <col min="391" max="391" width="7.85546875" bestFit="1" customWidth="1"/>
    <col min="392" max="396" width="4.85546875" bestFit="1" customWidth="1"/>
    <col min="397" max="397" width="7.85546875" bestFit="1" customWidth="1"/>
    <col min="398" max="404" width="4.85546875" bestFit="1" customWidth="1"/>
    <col min="405" max="405" width="7.85546875" bestFit="1" customWidth="1"/>
    <col min="406" max="409" width="4.85546875" bestFit="1" customWidth="1"/>
    <col min="410" max="410" width="7.85546875" bestFit="1" customWidth="1"/>
    <col min="411" max="418" width="4.85546875" bestFit="1" customWidth="1"/>
    <col min="419" max="419" width="7.85546875" bestFit="1" customWidth="1"/>
    <col min="420" max="423" width="4.85546875" bestFit="1" customWidth="1"/>
    <col min="424" max="424" width="7.85546875" bestFit="1" customWidth="1"/>
    <col min="425" max="431" width="4.85546875" bestFit="1" customWidth="1"/>
    <col min="432" max="432" width="7.85546875" bestFit="1" customWidth="1"/>
    <col min="433" max="435" width="4.85546875" bestFit="1" customWidth="1"/>
    <col min="436" max="436" width="7.85546875" bestFit="1" customWidth="1"/>
    <col min="437" max="442" width="4.85546875" bestFit="1" customWidth="1"/>
    <col min="443" max="443" width="7.85546875" bestFit="1" customWidth="1"/>
    <col min="444" max="449" width="4.85546875" bestFit="1" customWidth="1"/>
    <col min="450" max="450" width="7.85546875" bestFit="1" customWidth="1"/>
    <col min="451" max="461" width="4.85546875" bestFit="1" customWidth="1"/>
    <col min="462" max="462" width="7.85546875" bestFit="1" customWidth="1"/>
    <col min="463" max="469" width="4.85546875" bestFit="1" customWidth="1"/>
    <col min="470" max="470" width="7.85546875" bestFit="1" customWidth="1"/>
    <col min="471" max="480" width="4.85546875" bestFit="1" customWidth="1"/>
    <col min="481" max="481" width="7.85546875" bestFit="1" customWidth="1"/>
    <col min="482" max="492" width="4.85546875" bestFit="1" customWidth="1"/>
    <col min="493" max="493" width="7.85546875" bestFit="1" customWidth="1"/>
    <col min="494" max="496" width="4.85546875" bestFit="1" customWidth="1"/>
    <col min="497" max="497" width="7.85546875" bestFit="1" customWidth="1"/>
    <col min="498" max="502" width="4.85546875" bestFit="1" customWidth="1"/>
    <col min="503" max="503" width="7.85546875" bestFit="1" customWidth="1"/>
    <col min="504" max="510" width="4.85546875" bestFit="1" customWidth="1"/>
    <col min="511" max="511" width="7.85546875" bestFit="1" customWidth="1"/>
    <col min="512" max="521" width="4.85546875" bestFit="1" customWidth="1"/>
    <col min="522" max="522" width="7.85546875" bestFit="1" customWidth="1"/>
    <col min="523" max="527" width="4.85546875" bestFit="1" customWidth="1"/>
    <col min="528" max="528" width="7.85546875" bestFit="1" customWidth="1"/>
    <col min="529" max="534" width="4.85546875" bestFit="1" customWidth="1"/>
    <col min="535" max="535" width="7.85546875" bestFit="1" customWidth="1"/>
    <col min="536" max="543" width="5.85546875" bestFit="1" customWidth="1"/>
    <col min="544" max="544" width="8.85546875" bestFit="1" customWidth="1"/>
    <col min="545" max="550" width="5.85546875" bestFit="1" customWidth="1"/>
    <col min="551" max="551" width="8.85546875" bestFit="1" customWidth="1"/>
    <col min="552" max="562" width="5.85546875" bestFit="1" customWidth="1"/>
    <col min="563" max="563" width="8.85546875" bestFit="1" customWidth="1"/>
    <col min="564" max="570" width="5.85546875" bestFit="1" customWidth="1"/>
    <col min="571" max="571" width="8.85546875" bestFit="1" customWidth="1"/>
    <col min="572" max="576" width="5.85546875" bestFit="1" customWidth="1"/>
    <col min="577" max="577" width="8.85546875" bestFit="1" customWidth="1"/>
    <col min="578" max="584" width="5.85546875" bestFit="1" customWidth="1"/>
    <col min="585" max="585" width="8.85546875" bestFit="1" customWidth="1"/>
    <col min="586" max="594" width="5.85546875" bestFit="1" customWidth="1"/>
    <col min="595" max="595" width="8.85546875" bestFit="1" customWidth="1"/>
    <col min="596" max="603" width="5.85546875" bestFit="1" customWidth="1"/>
    <col min="604" max="604" width="8.85546875" bestFit="1" customWidth="1"/>
    <col min="605" max="613" width="5.85546875" bestFit="1" customWidth="1"/>
    <col min="614" max="614" width="8.85546875" bestFit="1" customWidth="1"/>
    <col min="615" max="617" width="5.85546875" bestFit="1" customWidth="1"/>
    <col min="618" max="618" width="8.85546875" bestFit="1" customWidth="1"/>
    <col min="619" max="629" width="5.85546875" bestFit="1" customWidth="1"/>
    <col min="630" max="630" width="8.85546875" bestFit="1" customWidth="1"/>
    <col min="631" max="635" width="5.85546875" bestFit="1" customWidth="1"/>
    <col min="636" max="636" width="8.85546875" bestFit="1" customWidth="1"/>
    <col min="637" max="649" width="5.85546875" bestFit="1" customWidth="1"/>
    <col min="650" max="650" width="8.85546875" bestFit="1" customWidth="1"/>
    <col min="651" max="656" width="5.85546875" bestFit="1" customWidth="1"/>
    <col min="657" max="657" width="8.85546875" bestFit="1" customWidth="1"/>
    <col min="658" max="668" width="5.85546875" bestFit="1" customWidth="1"/>
    <col min="669" max="669" width="8.85546875" bestFit="1" customWidth="1"/>
    <col min="670" max="671" width="5.85546875" bestFit="1" customWidth="1"/>
    <col min="672" max="672" width="8.85546875" bestFit="1" customWidth="1"/>
    <col min="673" max="676" width="5.85546875" bestFit="1" customWidth="1"/>
    <col min="677" max="677" width="8.85546875" bestFit="1" customWidth="1"/>
    <col min="678" max="680" width="5.85546875" bestFit="1" customWidth="1"/>
    <col min="681" max="681" width="8.85546875" bestFit="1" customWidth="1"/>
    <col min="682" max="690" width="5.85546875" bestFit="1" customWidth="1"/>
    <col min="691" max="691" width="8.85546875" bestFit="1" customWidth="1"/>
    <col min="692" max="696" width="5.85546875" bestFit="1" customWidth="1"/>
    <col min="697" max="697" width="8.85546875" bestFit="1" customWidth="1"/>
    <col min="698" max="701" width="5.85546875" bestFit="1" customWidth="1"/>
    <col min="702" max="702" width="8.85546875" bestFit="1" customWidth="1"/>
    <col min="703" max="705" width="5.85546875" bestFit="1" customWidth="1"/>
    <col min="706" max="706" width="8.85546875" bestFit="1" customWidth="1"/>
    <col min="707" max="711" width="5.85546875" bestFit="1" customWidth="1"/>
    <col min="712" max="712" width="8.85546875" bestFit="1" customWidth="1"/>
    <col min="713" max="717" width="5.85546875" bestFit="1" customWidth="1"/>
    <col min="718" max="718" width="8.85546875" bestFit="1" customWidth="1"/>
    <col min="719" max="727" width="5.85546875" bestFit="1" customWidth="1"/>
    <col min="728" max="728" width="8.85546875" bestFit="1" customWidth="1"/>
    <col min="729" max="732" width="5.85546875" bestFit="1" customWidth="1"/>
    <col min="733" max="733" width="8.85546875" bestFit="1" customWidth="1"/>
    <col min="734" max="741" width="5.85546875" bestFit="1" customWidth="1"/>
    <col min="742" max="742" width="8.85546875" bestFit="1" customWidth="1"/>
    <col min="743" max="747" width="5.85546875" bestFit="1" customWidth="1"/>
    <col min="748" max="748" width="8.85546875" bestFit="1" customWidth="1"/>
    <col min="749" max="754" width="5.85546875" bestFit="1" customWidth="1"/>
    <col min="755" max="755" width="8.85546875" bestFit="1" customWidth="1"/>
    <col min="756" max="759" width="5.85546875" bestFit="1" customWidth="1"/>
    <col min="760" max="760" width="8.85546875" bestFit="1" customWidth="1"/>
    <col min="761" max="768" width="5.85546875" bestFit="1" customWidth="1"/>
    <col min="769" max="769" width="8.85546875" bestFit="1" customWidth="1"/>
    <col min="770" max="779" width="5.85546875" bestFit="1" customWidth="1"/>
    <col min="780" max="780" width="8.85546875" bestFit="1" customWidth="1"/>
    <col min="781" max="789" width="5.85546875" bestFit="1" customWidth="1"/>
    <col min="790" max="790" width="8.85546875" bestFit="1" customWidth="1"/>
    <col min="791" max="794" width="5.85546875" bestFit="1" customWidth="1"/>
    <col min="795" max="795" width="8.85546875" bestFit="1" customWidth="1"/>
    <col min="796" max="800" width="5.85546875" bestFit="1" customWidth="1"/>
    <col min="801" max="801" width="8.85546875" bestFit="1" customWidth="1"/>
    <col min="802" max="810" width="5.85546875" bestFit="1" customWidth="1"/>
    <col min="811" max="811" width="8.85546875" bestFit="1" customWidth="1"/>
    <col min="812" max="822" width="5.85546875" bestFit="1" customWidth="1"/>
    <col min="823" max="823" width="8.85546875" bestFit="1" customWidth="1"/>
    <col min="824" max="826" width="5.85546875" bestFit="1" customWidth="1"/>
    <col min="827" max="827" width="8.85546875" bestFit="1" customWidth="1"/>
    <col min="828" max="832" width="5.85546875" bestFit="1" customWidth="1"/>
    <col min="833" max="833" width="8.85546875" bestFit="1" customWidth="1"/>
    <col min="834" max="840" width="5.85546875" bestFit="1" customWidth="1"/>
    <col min="841" max="841" width="8.85546875" bestFit="1" customWidth="1"/>
    <col min="842" max="849" width="5.85546875" bestFit="1" customWidth="1"/>
    <col min="850" max="850" width="8.85546875" bestFit="1" customWidth="1"/>
    <col min="851" max="858" width="5.85546875" bestFit="1" customWidth="1"/>
    <col min="859" max="859" width="8.85546875" bestFit="1" customWidth="1"/>
    <col min="860" max="866" width="5.85546875" bestFit="1" customWidth="1"/>
    <col min="867" max="867" width="8.85546875" bestFit="1" customWidth="1"/>
    <col min="868" max="874" width="5.85546875" bestFit="1" customWidth="1"/>
    <col min="875" max="875" width="8.85546875" bestFit="1" customWidth="1"/>
    <col min="876" max="877" width="5.85546875" bestFit="1" customWidth="1"/>
    <col min="878" max="878" width="8.85546875" bestFit="1" customWidth="1"/>
    <col min="879" max="885" width="5.85546875" bestFit="1" customWidth="1"/>
    <col min="886" max="886" width="8.85546875" bestFit="1" customWidth="1"/>
    <col min="887" max="896" width="5.85546875" bestFit="1" customWidth="1"/>
    <col min="897" max="897" width="8.85546875" bestFit="1" customWidth="1"/>
    <col min="898" max="906" width="5.85546875" bestFit="1" customWidth="1"/>
    <col min="907" max="907" width="8.85546875" bestFit="1" customWidth="1"/>
    <col min="908" max="911" width="5.85546875" bestFit="1" customWidth="1"/>
    <col min="912" max="912" width="8.85546875" bestFit="1" customWidth="1"/>
    <col min="913" max="923" width="5.85546875" bestFit="1" customWidth="1"/>
    <col min="924" max="924" width="8.85546875" bestFit="1" customWidth="1"/>
    <col min="925" max="930" width="5.85546875" bestFit="1" customWidth="1"/>
    <col min="931" max="931" width="8.85546875" bestFit="1" customWidth="1"/>
    <col min="932" max="940" width="5.85546875" bestFit="1" customWidth="1"/>
    <col min="941" max="941" width="8.85546875" bestFit="1" customWidth="1"/>
    <col min="942" max="946" width="5.85546875" bestFit="1" customWidth="1"/>
    <col min="947" max="947" width="8.85546875" bestFit="1" customWidth="1"/>
    <col min="948" max="954" width="5.85546875" bestFit="1" customWidth="1"/>
    <col min="955" max="955" width="8.85546875" bestFit="1" customWidth="1"/>
    <col min="956" max="959" width="5.85546875" bestFit="1" customWidth="1"/>
    <col min="960" max="960" width="8.85546875" bestFit="1" customWidth="1"/>
    <col min="961" max="963" width="5.85546875" bestFit="1" customWidth="1"/>
    <col min="964" max="964" width="8.85546875" bestFit="1" customWidth="1"/>
    <col min="965" max="973" width="5.85546875" bestFit="1" customWidth="1"/>
    <col min="974" max="974" width="8.85546875" bestFit="1" customWidth="1"/>
    <col min="975" max="985" width="5.85546875" bestFit="1" customWidth="1"/>
    <col min="986" max="986" width="8.85546875" bestFit="1" customWidth="1"/>
    <col min="987" max="990" width="5.85546875" bestFit="1" customWidth="1"/>
    <col min="991" max="991" width="8.85546875" bestFit="1" customWidth="1"/>
    <col min="992" max="995" width="5.85546875" bestFit="1" customWidth="1"/>
    <col min="996" max="996" width="8.85546875" bestFit="1" customWidth="1"/>
    <col min="997" max="1002" width="5.85546875" bestFit="1" customWidth="1"/>
    <col min="1003" max="1003" width="8.85546875" bestFit="1" customWidth="1"/>
    <col min="1004" max="1010" width="5.85546875" bestFit="1" customWidth="1"/>
    <col min="1011" max="1011" width="8.85546875" bestFit="1" customWidth="1"/>
    <col min="1012" max="1016" width="5.85546875" bestFit="1" customWidth="1"/>
    <col min="1017" max="1017" width="8.85546875" bestFit="1" customWidth="1"/>
    <col min="1018" max="1024" width="5.85546875" bestFit="1" customWidth="1"/>
    <col min="1025" max="1025" width="8.85546875" bestFit="1" customWidth="1"/>
    <col min="1026" max="1030" width="5.85546875" bestFit="1" customWidth="1"/>
    <col min="1031" max="1031" width="8.85546875" bestFit="1" customWidth="1"/>
    <col min="1032" max="1037" width="5.85546875" bestFit="1" customWidth="1"/>
    <col min="1038" max="1038" width="8.85546875" bestFit="1" customWidth="1"/>
    <col min="1039" max="1045" width="5.85546875" bestFit="1" customWidth="1"/>
    <col min="1046" max="1046" width="8.85546875" bestFit="1" customWidth="1"/>
    <col min="1047" max="1055" width="5.85546875" bestFit="1" customWidth="1"/>
    <col min="1056" max="1056" width="8.85546875" bestFit="1" customWidth="1"/>
    <col min="1057" max="1064" width="5.85546875" bestFit="1" customWidth="1"/>
    <col min="1065" max="1065" width="8.85546875" bestFit="1" customWidth="1"/>
    <col min="1066" max="1070" width="5.85546875" bestFit="1" customWidth="1"/>
    <col min="1071" max="1071" width="8.85546875" bestFit="1" customWidth="1"/>
    <col min="1072" max="1079" width="5.85546875" bestFit="1" customWidth="1"/>
    <col min="1080" max="1080" width="8.85546875" bestFit="1" customWidth="1"/>
    <col min="1081" max="1082" width="5.85546875" bestFit="1" customWidth="1"/>
    <col min="1083" max="1083" width="8.85546875" bestFit="1" customWidth="1"/>
    <col min="1084" max="1090" width="5.85546875" bestFit="1" customWidth="1"/>
    <col min="1091" max="1091" width="8.85546875" bestFit="1" customWidth="1"/>
    <col min="1092" max="1094" width="5.85546875" bestFit="1" customWidth="1"/>
    <col min="1095" max="1095" width="8.85546875" bestFit="1" customWidth="1"/>
    <col min="1096" max="1102" width="5.85546875" bestFit="1" customWidth="1"/>
    <col min="1103" max="1103" width="8.85546875" bestFit="1" customWidth="1"/>
    <col min="1104" max="1109" width="5.85546875" bestFit="1" customWidth="1"/>
    <col min="1110" max="1110" width="8.85546875" bestFit="1" customWidth="1"/>
    <col min="1111" max="1119" width="5.85546875" bestFit="1" customWidth="1"/>
    <col min="1120" max="1120" width="8.85546875" bestFit="1" customWidth="1"/>
    <col min="1121" max="1127" width="5.85546875" bestFit="1" customWidth="1"/>
    <col min="1128" max="1128" width="8.85546875" bestFit="1" customWidth="1"/>
    <col min="1129" max="1135" width="5.85546875" bestFit="1" customWidth="1"/>
    <col min="1136" max="1136" width="8.85546875" bestFit="1" customWidth="1"/>
    <col min="1137" max="1143" width="5.85546875" bestFit="1" customWidth="1"/>
    <col min="1144" max="1144" width="8.85546875" bestFit="1" customWidth="1"/>
    <col min="1145" max="1152" width="5.85546875" bestFit="1" customWidth="1"/>
    <col min="1153" max="1153" width="8.85546875" bestFit="1" customWidth="1"/>
    <col min="1154" max="1154" width="11.28515625" bestFit="1" customWidth="1"/>
    <col min="1155" max="1155" width="5.85546875" bestFit="1" customWidth="1"/>
    <col min="1156" max="1156" width="8.85546875" bestFit="1" customWidth="1"/>
    <col min="1157" max="1157" width="5.85546875" bestFit="1" customWidth="1"/>
    <col min="1158" max="1158" width="8.85546875" bestFit="1" customWidth="1"/>
    <col min="1159" max="1159" width="5.85546875" bestFit="1" customWidth="1"/>
    <col min="1160" max="1160" width="8.85546875" bestFit="1" customWidth="1"/>
    <col min="1161" max="1161" width="5.85546875" bestFit="1" customWidth="1"/>
    <col min="1162" max="1162" width="8.85546875" bestFit="1" customWidth="1"/>
    <col min="1163" max="1163" width="5.85546875" bestFit="1" customWidth="1"/>
    <col min="1164" max="1165" width="8.85546875" bestFit="1" customWidth="1"/>
    <col min="1166" max="1166" width="5.85546875" bestFit="1" customWidth="1"/>
    <col min="1167" max="1167" width="7.85546875" bestFit="1" customWidth="1"/>
    <col min="1168" max="1168" width="5.85546875" bestFit="1" customWidth="1"/>
    <col min="1169" max="1169" width="8.85546875" bestFit="1" customWidth="1"/>
    <col min="1170" max="1170" width="5.85546875" bestFit="1" customWidth="1"/>
    <col min="1171" max="1171" width="8.85546875" bestFit="1" customWidth="1"/>
    <col min="1172" max="1172" width="5.85546875" bestFit="1" customWidth="1"/>
    <col min="1173" max="1173" width="8.85546875" bestFit="1" customWidth="1"/>
    <col min="1174" max="1174" width="5.85546875" bestFit="1" customWidth="1"/>
    <col min="1175" max="1175" width="8.85546875" bestFit="1" customWidth="1"/>
    <col min="1176" max="1176" width="5.85546875" bestFit="1" customWidth="1"/>
    <col min="1177" max="1178" width="8.85546875" bestFit="1" customWidth="1"/>
    <col min="1179" max="1179" width="5.85546875" bestFit="1" customWidth="1"/>
    <col min="1180" max="1180" width="7.85546875" bestFit="1" customWidth="1"/>
    <col min="1181" max="1181" width="4.85546875" bestFit="1" customWidth="1"/>
    <col min="1182" max="1182" width="7.85546875" bestFit="1" customWidth="1"/>
    <col min="1183" max="1183" width="4.85546875" bestFit="1" customWidth="1"/>
    <col min="1184" max="1184" width="7.85546875" bestFit="1" customWidth="1"/>
    <col min="1185" max="1185" width="4.85546875" bestFit="1" customWidth="1"/>
    <col min="1186" max="1186" width="7.85546875" bestFit="1" customWidth="1"/>
    <col min="1187" max="1187" width="4.85546875" bestFit="1" customWidth="1"/>
    <col min="1188" max="1188" width="7.85546875" bestFit="1" customWidth="1"/>
    <col min="1189" max="1189" width="4.85546875" bestFit="1" customWidth="1"/>
    <col min="1190" max="1190" width="7.85546875" bestFit="1" customWidth="1"/>
    <col min="1191" max="1191" width="4.85546875" bestFit="1" customWidth="1"/>
    <col min="1192" max="1192" width="7.85546875" bestFit="1" customWidth="1"/>
    <col min="1193" max="1193" width="5.85546875" bestFit="1" customWidth="1"/>
    <col min="1194" max="1194" width="8.85546875" bestFit="1" customWidth="1"/>
    <col min="1195" max="1195" width="5.85546875" bestFit="1" customWidth="1"/>
    <col min="1196" max="1196" width="8.85546875" bestFit="1" customWidth="1"/>
    <col min="1197" max="1197" width="5.85546875" bestFit="1" customWidth="1"/>
    <col min="1198" max="1198" width="8.85546875" bestFit="1" customWidth="1"/>
    <col min="1199" max="1199" width="5.85546875" bestFit="1" customWidth="1"/>
    <col min="1200" max="1200" width="8.85546875" bestFit="1" customWidth="1"/>
    <col min="1201" max="1201" width="5.85546875" bestFit="1" customWidth="1"/>
    <col min="1202" max="1202" width="8.85546875" bestFit="1" customWidth="1"/>
    <col min="1203" max="1203" width="5.85546875" bestFit="1" customWidth="1"/>
    <col min="1204" max="1204" width="8.85546875" bestFit="1" customWidth="1"/>
    <col min="1205" max="1205" width="5.85546875" bestFit="1" customWidth="1"/>
    <col min="1206" max="1207" width="8.85546875" bestFit="1" customWidth="1"/>
    <col min="1208" max="1208" width="5.85546875" bestFit="1" customWidth="1"/>
    <col min="1209" max="1209" width="7.85546875" bestFit="1" customWidth="1"/>
    <col min="1210" max="1210" width="4.85546875" bestFit="1" customWidth="1"/>
    <col min="1211" max="1211" width="7.85546875" bestFit="1" customWidth="1"/>
    <col min="1212" max="1212" width="4.85546875" bestFit="1" customWidth="1"/>
    <col min="1213" max="1213" width="7.85546875" bestFit="1" customWidth="1"/>
    <col min="1214" max="1214" width="4.85546875" bestFit="1" customWidth="1"/>
    <col min="1215" max="1215" width="7.85546875" bestFit="1" customWidth="1"/>
    <col min="1216" max="1216" width="5.85546875" bestFit="1" customWidth="1"/>
    <col min="1217" max="1217" width="8.85546875" bestFit="1" customWidth="1"/>
    <col min="1218" max="1218" width="5.85546875" bestFit="1" customWidth="1"/>
    <col min="1219" max="1220" width="8.85546875" bestFit="1" customWidth="1"/>
    <col min="1221" max="1221" width="5.85546875" bestFit="1" customWidth="1"/>
    <col min="1222" max="1222" width="7.85546875" bestFit="1" customWidth="1"/>
    <col min="1223" max="1223" width="4.85546875" bestFit="1" customWidth="1"/>
    <col min="1224" max="1224" width="7.85546875" bestFit="1" customWidth="1"/>
    <col min="1225" max="1225" width="4.85546875" bestFit="1" customWidth="1"/>
    <col min="1226" max="1226" width="7.85546875" bestFit="1" customWidth="1"/>
    <col min="1227" max="1227" width="4.85546875" bestFit="1" customWidth="1"/>
    <col min="1228" max="1228" width="7.85546875" bestFit="1" customWidth="1"/>
    <col min="1229" max="1229" width="4.85546875" bestFit="1" customWidth="1"/>
    <col min="1230" max="1230" width="7.85546875" bestFit="1" customWidth="1"/>
    <col min="1231" max="1231" width="5.85546875" bestFit="1" customWidth="1"/>
    <col min="1232" max="1232" width="8.85546875" bestFit="1" customWidth="1"/>
    <col min="1233" max="1233" width="5.85546875" bestFit="1" customWidth="1"/>
    <col min="1234" max="1234" width="8.85546875" bestFit="1" customWidth="1"/>
    <col min="1235" max="1235" width="5.85546875" bestFit="1" customWidth="1"/>
    <col min="1236" max="1236" width="8.85546875" bestFit="1" customWidth="1"/>
    <col min="1237" max="1237" width="5.85546875" bestFit="1" customWidth="1"/>
    <col min="1238" max="1238" width="8.85546875" bestFit="1" customWidth="1"/>
    <col min="1239" max="1239" width="5.85546875" bestFit="1" customWidth="1"/>
    <col min="1240" max="1240" width="8.85546875" bestFit="1" customWidth="1"/>
    <col min="1241" max="1241" width="5.85546875" bestFit="1" customWidth="1"/>
    <col min="1242" max="1243" width="8.85546875" bestFit="1" customWidth="1"/>
    <col min="1244" max="1244" width="5.85546875" bestFit="1" customWidth="1"/>
    <col min="1245" max="1245" width="8.85546875" bestFit="1" customWidth="1"/>
    <col min="1246" max="1246" width="5.85546875" bestFit="1" customWidth="1"/>
    <col min="1247" max="1248" width="8.85546875" bestFit="1" customWidth="1"/>
    <col min="1249" max="1249" width="5.85546875" bestFit="1" customWidth="1"/>
    <col min="1250" max="1250" width="7.85546875" bestFit="1" customWidth="1"/>
    <col min="1251" max="1251" width="4.85546875" bestFit="1" customWidth="1"/>
    <col min="1252" max="1252" width="7.85546875" bestFit="1" customWidth="1"/>
    <col min="1253" max="1253" width="4.85546875" bestFit="1" customWidth="1"/>
    <col min="1254" max="1254" width="7.85546875" bestFit="1" customWidth="1"/>
    <col min="1255" max="1255" width="4.85546875" bestFit="1" customWidth="1"/>
    <col min="1256" max="1256" width="7.85546875" bestFit="1" customWidth="1"/>
    <col min="1257" max="1257" width="8.85546875" bestFit="1" customWidth="1"/>
    <col min="1258" max="1258" width="5.85546875" bestFit="1" customWidth="1"/>
    <col min="1259" max="1259" width="7.85546875" bestFit="1" customWidth="1"/>
    <col min="1260" max="1260" width="4.85546875" bestFit="1" customWidth="1"/>
    <col min="1261" max="1261" width="7.85546875" bestFit="1" customWidth="1"/>
    <col min="1262" max="1262" width="5.85546875" bestFit="1" customWidth="1"/>
    <col min="1263" max="1264" width="8.85546875" bestFit="1" customWidth="1"/>
    <col min="1265" max="1265" width="5.85546875" bestFit="1" customWidth="1"/>
    <col min="1266" max="1266" width="7.85546875" bestFit="1" customWidth="1"/>
    <col min="1267" max="1267" width="4.85546875" bestFit="1" customWidth="1"/>
    <col min="1268" max="1268" width="7.85546875" bestFit="1" customWidth="1"/>
    <col min="1269" max="1269" width="4.85546875" bestFit="1" customWidth="1"/>
    <col min="1270" max="1270" width="7.85546875" bestFit="1" customWidth="1"/>
    <col min="1271" max="1271" width="4.85546875" bestFit="1" customWidth="1"/>
    <col min="1272" max="1272" width="7.85546875" bestFit="1" customWidth="1"/>
    <col min="1273" max="1273" width="4.85546875" bestFit="1" customWidth="1"/>
    <col min="1274" max="1274" width="7.85546875" bestFit="1" customWidth="1"/>
    <col min="1275" max="1275" width="4.85546875" bestFit="1" customWidth="1"/>
    <col min="1276" max="1276" width="7.85546875" bestFit="1" customWidth="1"/>
    <col min="1277" max="1277" width="5.85546875" bestFit="1" customWidth="1"/>
    <col min="1278" max="1278" width="8.85546875" bestFit="1" customWidth="1"/>
    <col min="1279" max="1279" width="5.85546875" bestFit="1" customWidth="1"/>
    <col min="1280" max="1280" width="8.85546875" bestFit="1" customWidth="1"/>
    <col min="1281" max="1281" width="5.85546875" bestFit="1" customWidth="1"/>
    <col min="1282" max="1283" width="8.85546875" bestFit="1" customWidth="1"/>
    <col min="1284" max="1284" width="5.85546875" bestFit="1" customWidth="1"/>
    <col min="1285" max="1285" width="7.85546875" bestFit="1" customWidth="1"/>
    <col min="1286" max="1286" width="4.85546875" bestFit="1" customWidth="1"/>
    <col min="1287" max="1287" width="7.85546875" bestFit="1" customWidth="1"/>
    <col min="1288" max="1288" width="4.85546875" bestFit="1" customWidth="1"/>
    <col min="1289" max="1289" width="7.85546875" bestFit="1" customWidth="1"/>
    <col min="1290" max="1290" width="5.85546875" bestFit="1" customWidth="1"/>
    <col min="1291" max="1291" width="8.85546875" bestFit="1" customWidth="1"/>
    <col min="1292" max="1292" width="5.85546875" bestFit="1" customWidth="1"/>
    <col min="1293" max="1294" width="8.85546875" bestFit="1" customWidth="1"/>
    <col min="1295" max="1295" width="5.85546875" bestFit="1" customWidth="1"/>
    <col min="1296" max="1296" width="7.85546875" bestFit="1" customWidth="1"/>
    <col min="1297" max="1297" width="4.85546875" bestFit="1" customWidth="1"/>
    <col min="1298" max="1298" width="7.85546875" bestFit="1" customWidth="1"/>
    <col min="1299" max="1299" width="5.85546875" bestFit="1" customWidth="1"/>
    <col min="1300" max="1300" width="8.85546875" bestFit="1" customWidth="1"/>
    <col min="1301" max="1301" width="5.85546875" bestFit="1" customWidth="1"/>
    <col min="1302" max="1303" width="8.85546875" bestFit="1" customWidth="1"/>
    <col min="1304" max="1304" width="5.85546875" bestFit="1" customWidth="1"/>
    <col min="1305" max="1305" width="7.85546875" bestFit="1" customWidth="1"/>
    <col min="1306" max="1306" width="5.85546875" bestFit="1" customWidth="1"/>
    <col min="1307" max="1307" width="8.85546875" bestFit="1" customWidth="1"/>
    <col min="1308" max="1308" width="5.85546875" bestFit="1" customWidth="1"/>
    <col min="1309" max="1310" width="8.85546875" bestFit="1" customWidth="1"/>
    <col min="1311" max="1311" width="5.85546875" bestFit="1" customWidth="1"/>
    <col min="1312" max="1312" width="7.85546875" bestFit="1" customWidth="1"/>
    <col min="1313" max="1313" width="4.85546875" bestFit="1" customWidth="1"/>
    <col min="1314" max="1314" width="7.85546875" bestFit="1" customWidth="1"/>
    <col min="1315" max="1315" width="5.85546875" bestFit="1" customWidth="1"/>
    <col min="1316" max="1316" width="8.85546875" bestFit="1" customWidth="1"/>
    <col min="1317" max="1317" width="5.85546875" bestFit="1" customWidth="1"/>
    <col min="1318" max="1318" width="8.85546875" bestFit="1" customWidth="1"/>
    <col min="1319" max="1319" width="5.85546875" bestFit="1" customWidth="1"/>
    <col min="1320" max="1321" width="8.85546875" bestFit="1" customWidth="1"/>
    <col min="1322" max="1322" width="5.85546875" bestFit="1" customWidth="1"/>
    <col min="1323" max="1323" width="7.85546875" bestFit="1" customWidth="1"/>
    <col min="1324" max="1324" width="5.85546875" bestFit="1" customWidth="1"/>
    <col min="1325" max="1325" width="8.85546875" bestFit="1" customWidth="1"/>
    <col min="1326" max="1326" width="5.85546875" bestFit="1" customWidth="1"/>
    <col min="1327" max="1327" width="8.85546875" bestFit="1" customWidth="1"/>
    <col min="1328" max="1328" width="5.85546875" bestFit="1" customWidth="1"/>
    <col min="1329" max="1329" width="8.85546875" bestFit="1" customWidth="1"/>
    <col min="1330" max="1330" width="5.85546875" bestFit="1" customWidth="1"/>
    <col min="1331" max="1332" width="8.85546875" bestFit="1" customWidth="1"/>
    <col min="1333" max="1333" width="5.85546875" bestFit="1" customWidth="1"/>
    <col min="1334" max="1334" width="7.85546875" bestFit="1" customWidth="1"/>
    <col min="1335" max="1335" width="4.85546875" bestFit="1" customWidth="1"/>
    <col min="1336" max="1336" width="7.85546875" bestFit="1" customWidth="1"/>
    <col min="1337" max="1337" width="4.85546875" bestFit="1" customWidth="1"/>
    <col min="1338" max="1338" width="7.85546875" bestFit="1" customWidth="1"/>
    <col min="1339" max="1339" width="5.85546875" bestFit="1" customWidth="1"/>
    <col min="1340" max="1340" width="8.85546875" bestFit="1" customWidth="1"/>
    <col min="1341" max="1341" width="5.85546875" bestFit="1" customWidth="1"/>
    <col min="1342" max="1342" width="8.85546875" bestFit="1" customWidth="1"/>
    <col min="1343" max="1343" width="5.85546875" bestFit="1" customWidth="1"/>
    <col min="1344" max="1344" width="8.85546875" bestFit="1" customWidth="1"/>
    <col min="1345" max="1345" width="5.85546875" bestFit="1" customWidth="1"/>
    <col min="1346" max="1346" width="8.85546875" bestFit="1" customWidth="1"/>
    <col min="1347" max="1347" width="5.85546875" bestFit="1" customWidth="1"/>
    <col min="1348" max="1348" width="8.85546875" bestFit="1" customWidth="1"/>
    <col min="1349" max="1349" width="5.85546875" bestFit="1" customWidth="1"/>
    <col min="1350" max="1350" width="8.85546875" bestFit="1" customWidth="1"/>
    <col min="1351" max="1351" width="5.85546875" bestFit="1" customWidth="1"/>
    <col min="1352" max="1353" width="8.85546875" bestFit="1" customWidth="1"/>
    <col min="1354" max="1354" width="5.85546875" bestFit="1" customWidth="1"/>
    <col min="1355" max="1355" width="7.85546875" bestFit="1" customWidth="1"/>
    <col min="1356" max="1356" width="4.85546875" bestFit="1" customWidth="1"/>
    <col min="1357" max="1357" width="7.85546875" bestFit="1" customWidth="1"/>
    <col min="1358" max="1358" width="5.85546875" bestFit="1" customWidth="1"/>
    <col min="1359" max="1359" width="8.85546875" bestFit="1" customWidth="1"/>
    <col min="1360" max="1360" width="5.85546875" bestFit="1" customWidth="1"/>
    <col min="1361" max="1362" width="8.85546875" bestFit="1" customWidth="1"/>
    <col min="1363" max="1363" width="5.85546875" bestFit="1" customWidth="1"/>
    <col min="1364" max="1364" width="7.85546875" bestFit="1" customWidth="1"/>
    <col min="1365" max="1365" width="4.85546875" bestFit="1" customWidth="1"/>
    <col min="1366" max="1366" width="7.85546875" bestFit="1" customWidth="1"/>
    <col min="1367" max="1367" width="4.85546875" bestFit="1" customWidth="1"/>
    <col min="1368" max="1368" width="7.85546875" bestFit="1" customWidth="1"/>
    <col min="1369" max="1369" width="4.85546875" bestFit="1" customWidth="1"/>
    <col min="1370" max="1370" width="7.85546875" bestFit="1" customWidth="1"/>
    <col min="1371" max="1371" width="5.85546875" bestFit="1" customWidth="1"/>
    <col min="1372" max="1372" width="8.85546875" bestFit="1" customWidth="1"/>
    <col min="1373" max="1373" width="5.85546875" bestFit="1" customWidth="1"/>
    <col min="1374" max="1374" width="8.85546875" bestFit="1" customWidth="1"/>
    <col min="1375" max="1375" width="5.85546875" bestFit="1" customWidth="1"/>
    <col min="1376" max="1376" width="8.85546875" bestFit="1" customWidth="1"/>
    <col min="1377" max="1377" width="5.85546875" bestFit="1" customWidth="1"/>
    <col min="1378" max="1379" width="8.85546875" bestFit="1" customWidth="1"/>
    <col min="1380" max="1380" width="5.85546875" bestFit="1" customWidth="1"/>
    <col min="1381" max="1381" width="8.85546875" bestFit="1" customWidth="1"/>
    <col min="1382" max="1382" width="5.85546875" bestFit="1" customWidth="1"/>
    <col min="1383" max="1383" width="8.85546875" bestFit="1" customWidth="1"/>
    <col min="1384" max="1384" width="5.85546875" bestFit="1" customWidth="1"/>
    <col min="1385" max="1385" width="8.85546875" bestFit="1" customWidth="1"/>
    <col min="1386" max="1386" width="5.85546875" bestFit="1" customWidth="1"/>
    <col min="1387" max="1387" width="8.85546875" bestFit="1" customWidth="1"/>
    <col min="1388" max="1388" width="5.85546875" bestFit="1" customWidth="1"/>
    <col min="1389" max="1390" width="8.85546875" bestFit="1" customWidth="1"/>
    <col min="1391" max="1391" width="5.85546875" bestFit="1" customWidth="1"/>
    <col min="1392" max="1392" width="7.85546875" bestFit="1" customWidth="1"/>
    <col min="1393" max="1394" width="5.85546875" bestFit="1" customWidth="1"/>
    <col min="1395" max="1395" width="8.85546875" bestFit="1" customWidth="1"/>
    <col min="1396" max="1396" width="5.85546875" bestFit="1" customWidth="1"/>
    <col min="1397" max="1397" width="8.85546875" bestFit="1" customWidth="1"/>
    <col min="1398" max="1398" width="5.85546875" bestFit="1" customWidth="1"/>
    <col min="1399" max="1399" width="8.85546875" bestFit="1" customWidth="1"/>
    <col min="1400" max="1400" width="5.85546875" bestFit="1" customWidth="1"/>
    <col min="1401" max="1402" width="8.85546875" bestFit="1" customWidth="1"/>
    <col min="1403" max="1403" width="5.85546875" bestFit="1" customWidth="1"/>
    <col min="1404" max="1404" width="7.85546875" bestFit="1" customWidth="1"/>
    <col min="1405" max="1405" width="5.85546875" bestFit="1" customWidth="1"/>
    <col min="1406" max="1406" width="8.85546875" bestFit="1" customWidth="1"/>
    <col min="1407" max="1407" width="5.85546875" bestFit="1" customWidth="1"/>
    <col min="1408" max="1408" width="8.85546875" bestFit="1" customWidth="1"/>
    <col min="1409" max="1409" width="5.85546875" bestFit="1" customWidth="1"/>
    <col min="1410" max="1411" width="8.85546875" bestFit="1" customWidth="1"/>
    <col min="1412" max="1412" width="5.85546875" bestFit="1" customWidth="1"/>
    <col min="1413" max="1413" width="7.85546875" bestFit="1" customWidth="1"/>
    <col min="1414" max="1415" width="4.85546875" bestFit="1" customWidth="1"/>
    <col min="1416" max="1416" width="7.85546875" bestFit="1" customWidth="1"/>
    <col min="1417" max="1417" width="4.85546875" bestFit="1" customWidth="1"/>
    <col min="1418" max="1418" width="7.85546875" bestFit="1" customWidth="1"/>
    <col min="1419" max="1419" width="4.85546875" bestFit="1" customWidth="1"/>
    <col min="1420" max="1420" width="7.85546875" bestFit="1" customWidth="1"/>
    <col min="1421" max="1421" width="5.85546875" bestFit="1" customWidth="1"/>
    <col min="1422" max="1422" width="8.85546875" bestFit="1" customWidth="1"/>
    <col min="1423" max="1423" width="5.85546875" bestFit="1" customWidth="1"/>
    <col min="1424" max="1424" width="8.85546875" bestFit="1" customWidth="1"/>
    <col min="1425" max="1425" width="5.85546875" bestFit="1" customWidth="1"/>
    <col min="1426" max="1427" width="8.85546875" bestFit="1" customWidth="1"/>
    <col min="1428" max="1428" width="5.85546875" bestFit="1" customWidth="1"/>
    <col min="1429" max="1429" width="7.85546875" bestFit="1" customWidth="1"/>
    <col min="1430" max="1430" width="4.85546875" bestFit="1" customWidth="1"/>
    <col min="1431" max="1431" width="7.85546875" bestFit="1" customWidth="1"/>
    <col min="1432" max="1432" width="4.85546875" bestFit="1" customWidth="1"/>
    <col min="1433" max="1433" width="7.85546875" bestFit="1" customWidth="1"/>
    <col min="1434" max="1434" width="4.85546875" bestFit="1" customWidth="1"/>
    <col min="1435" max="1435" width="7.85546875" bestFit="1" customWidth="1"/>
    <col min="1436" max="1436" width="4.85546875" bestFit="1" customWidth="1"/>
    <col min="1437" max="1437" width="7.85546875" bestFit="1" customWidth="1"/>
    <col min="1438" max="1438" width="5.85546875" bestFit="1" customWidth="1"/>
    <col min="1439" max="1439" width="8.85546875" bestFit="1" customWidth="1"/>
    <col min="1440" max="1440" width="5.85546875" bestFit="1" customWidth="1"/>
    <col min="1441" max="1441" width="8.85546875" bestFit="1" customWidth="1"/>
    <col min="1442" max="1442" width="5.85546875" bestFit="1" customWidth="1"/>
    <col min="1443" max="1443" width="8.85546875" bestFit="1" customWidth="1"/>
    <col min="1444" max="1444" width="5.85546875" bestFit="1" customWidth="1"/>
    <col min="1445" max="1445" width="8.85546875" bestFit="1" customWidth="1"/>
    <col min="1446" max="1446" width="5.85546875" bestFit="1" customWidth="1"/>
    <col min="1447" max="1448" width="8.85546875" bestFit="1" customWidth="1"/>
    <col min="1449" max="1449" width="5.85546875" bestFit="1" customWidth="1"/>
    <col min="1450" max="1450" width="7.85546875" bestFit="1" customWidth="1"/>
    <col min="1451" max="1451" width="4.85546875" bestFit="1" customWidth="1"/>
    <col min="1452" max="1452" width="7.85546875" bestFit="1" customWidth="1"/>
    <col min="1453" max="1453" width="5.85546875" bestFit="1" customWidth="1"/>
    <col min="1454" max="1454" width="8.85546875" bestFit="1" customWidth="1"/>
    <col min="1455" max="1455" width="5.85546875" bestFit="1" customWidth="1"/>
    <col min="1456" max="1456" width="8.85546875" bestFit="1" customWidth="1"/>
    <col min="1457" max="1457" width="5.85546875" bestFit="1" customWidth="1"/>
    <col min="1458" max="1458" width="8.85546875" bestFit="1" customWidth="1"/>
    <col min="1459" max="1459" width="5.85546875" bestFit="1" customWidth="1"/>
    <col min="1460" max="1460" width="8.85546875" bestFit="1" customWidth="1"/>
    <col min="1461" max="1461" width="5.85546875" bestFit="1" customWidth="1"/>
    <col min="1462" max="1462" width="8.85546875" bestFit="1" customWidth="1"/>
    <col min="1463" max="1463" width="5.85546875" bestFit="1" customWidth="1"/>
    <col min="1464" max="1464" width="8.85546875" bestFit="1" customWidth="1"/>
    <col min="1465" max="1465" width="5.85546875" bestFit="1" customWidth="1"/>
    <col min="1466" max="1467" width="8.85546875" bestFit="1" customWidth="1"/>
    <col min="1468" max="1468" width="5.85546875" bestFit="1" customWidth="1"/>
    <col min="1469" max="1469" width="7.85546875" bestFit="1" customWidth="1"/>
    <col min="1470" max="1471" width="5.85546875" bestFit="1" customWidth="1"/>
    <col min="1472" max="1472" width="8.85546875" bestFit="1" customWidth="1"/>
    <col min="1473" max="1473" width="5.85546875" bestFit="1" customWidth="1"/>
    <col min="1474" max="1475" width="8.85546875" bestFit="1" customWidth="1"/>
    <col min="1476" max="1476" width="5.85546875" bestFit="1" customWidth="1"/>
    <col min="1477" max="1477" width="7.85546875" bestFit="1" customWidth="1"/>
    <col min="1478" max="1478" width="4.85546875" bestFit="1" customWidth="1"/>
    <col min="1479" max="1479" width="7.85546875" bestFit="1" customWidth="1"/>
    <col min="1480" max="1480" width="4.85546875" bestFit="1" customWidth="1"/>
    <col min="1481" max="1481" width="7.85546875" bestFit="1" customWidth="1"/>
    <col min="1482" max="1482" width="5.85546875" bestFit="1" customWidth="1"/>
    <col min="1483" max="1483" width="8.85546875" bestFit="1" customWidth="1"/>
    <col min="1484" max="1484" width="5.85546875" bestFit="1" customWidth="1"/>
    <col min="1485" max="1486" width="8.85546875" bestFit="1" customWidth="1"/>
    <col min="1487" max="1487" width="5.85546875" bestFit="1" customWidth="1"/>
    <col min="1488" max="1488" width="7.85546875" bestFit="1" customWidth="1"/>
    <col min="1489" max="1489" width="4.85546875" bestFit="1" customWidth="1"/>
    <col min="1490" max="1490" width="7.85546875" bestFit="1" customWidth="1"/>
    <col min="1491" max="1491" width="4.85546875" bestFit="1" customWidth="1"/>
    <col min="1492" max="1492" width="7.85546875" bestFit="1" customWidth="1"/>
    <col min="1493" max="1493" width="5.85546875" bestFit="1" customWidth="1"/>
    <col min="1494" max="1494" width="8.85546875" bestFit="1" customWidth="1"/>
    <col min="1495" max="1495" width="5.85546875" bestFit="1" customWidth="1"/>
    <col min="1496" max="1496" width="8.85546875" bestFit="1" customWidth="1"/>
    <col min="1497" max="1497" width="5.85546875" bestFit="1" customWidth="1"/>
    <col min="1498" max="1498" width="8.85546875" bestFit="1" customWidth="1"/>
    <col min="1499" max="1499" width="5.85546875" bestFit="1" customWidth="1"/>
    <col min="1500" max="1500" width="8.85546875" bestFit="1" customWidth="1"/>
    <col min="1501" max="1501" width="5.85546875" bestFit="1" customWidth="1"/>
    <col min="1502" max="1502" width="8.85546875" bestFit="1" customWidth="1"/>
    <col min="1503" max="1503" width="5.85546875" bestFit="1" customWidth="1"/>
    <col min="1504" max="1505" width="8.85546875" bestFit="1" customWidth="1"/>
    <col min="1506" max="1506" width="5.85546875" bestFit="1" customWidth="1"/>
    <col min="1507" max="1507" width="7.85546875" bestFit="1" customWidth="1"/>
    <col min="1508" max="1508" width="4.85546875" bestFit="1" customWidth="1"/>
    <col min="1509" max="1509" width="7.85546875" bestFit="1" customWidth="1"/>
    <col min="1510" max="1510" width="4.85546875" bestFit="1" customWidth="1"/>
    <col min="1511" max="1511" width="7.85546875" bestFit="1" customWidth="1"/>
    <col min="1512" max="1512" width="5.85546875" bestFit="1" customWidth="1"/>
    <col min="1513" max="1513" width="8.85546875" bestFit="1" customWidth="1"/>
    <col min="1514" max="1514" width="5.85546875" bestFit="1" customWidth="1"/>
    <col min="1515" max="1515" width="8.85546875" bestFit="1" customWidth="1"/>
    <col min="1516" max="1516" width="5.85546875" bestFit="1" customWidth="1"/>
    <col min="1517" max="1517" width="8.85546875" bestFit="1" customWidth="1"/>
    <col min="1518" max="1518" width="5.85546875" bestFit="1" customWidth="1"/>
    <col min="1519" max="1519" width="8.85546875" bestFit="1" customWidth="1"/>
    <col min="1520" max="1520" width="5.85546875" bestFit="1" customWidth="1"/>
    <col min="1521" max="1521" width="8.85546875" bestFit="1" customWidth="1"/>
    <col min="1522" max="1522" width="5.85546875" bestFit="1" customWidth="1"/>
    <col min="1523" max="1523" width="8.85546875" bestFit="1" customWidth="1"/>
    <col min="1524" max="1524" width="5.85546875" bestFit="1" customWidth="1"/>
    <col min="1525" max="1525" width="8.85546875" bestFit="1" customWidth="1"/>
    <col min="1526" max="1526" width="5.85546875" bestFit="1" customWidth="1"/>
    <col min="1527" max="1528" width="8.85546875" bestFit="1" customWidth="1"/>
    <col min="1529" max="1529" width="5.85546875" bestFit="1" customWidth="1"/>
    <col min="1530" max="1530" width="7.85546875" bestFit="1" customWidth="1"/>
    <col min="1531" max="1531" width="5.85546875" bestFit="1" customWidth="1"/>
    <col min="1532" max="1532" width="8.85546875" bestFit="1" customWidth="1"/>
    <col min="1533" max="1533" width="5.85546875" bestFit="1" customWidth="1"/>
    <col min="1534" max="1535" width="8.85546875" bestFit="1" customWidth="1"/>
    <col min="1536" max="1536" width="5.85546875" bestFit="1" customWidth="1"/>
    <col min="1537" max="1537" width="7.85546875" bestFit="1" customWidth="1"/>
    <col min="1538" max="1538" width="4.85546875" bestFit="1" customWidth="1"/>
    <col min="1539" max="1539" width="7.85546875" bestFit="1" customWidth="1"/>
    <col min="1540" max="1540" width="4.85546875" bestFit="1" customWidth="1"/>
    <col min="1541" max="1541" width="7.85546875" bestFit="1" customWidth="1"/>
    <col min="1542" max="1542" width="5.85546875" bestFit="1" customWidth="1"/>
    <col min="1543" max="1543" width="8.85546875" bestFit="1" customWidth="1"/>
    <col min="1544" max="1544" width="5.85546875" bestFit="1" customWidth="1"/>
    <col min="1545" max="1545" width="8.85546875" bestFit="1" customWidth="1"/>
    <col min="1546" max="1546" width="5.85546875" bestFit="1" customWidth="1"/>
    <col min="1547" max="1548" width="8.85546875" bestFit="1" customWidth="1"/>
    <col min="1549" max="1549" width="5.85546875" bestFit="1" customWidth="1"/>
    <col min="1550" max="1550" width="7.85546875" bestFit="1" customWidth="1"/>
    <col min="1551" max="1552" width="4.85546875" bestFit="1" customWidth="1"/>
    <col min="1553" max="1553" width="7.85546875" bestFit="1" customWidth="1"/>
    <col min="1554" max="1554" width="4.85546875" bestFit="1" customWidth="1"/>
    <col min="1555" max="1555" width="7.85546875" bestFit="1" customWidth="1"/>
    <col min="1556" max="1556" width="4.85546875" bestFit="1" customWidth="1"/>
    <col min="1557" max="1557" width="7.85546875" bestFit="1" customWidth="1"/>
    <col min="1558" max="1558" width="5.85546875" bestFit="1" customWidth="1"/>
    <col min="1559" max="1559" width="8.85546875" bestFit="1" customWidth="1"/>
    <col min="1560" max="1560" width="5.85546875" bestFit="1" customWidth="1"/>
    <col min="1561" max="1562" width="8.85546875" bestFit="1" customWidth="1"/>
    <col min="1563" max="1563" width="5.85546875" bestFit="1" customWidth="1"/>
    <col min="1564" max="1564" width="7.85546875" bestFit="1" customWidth="1"/>
    <col min="1565" max="1565" width="4.85546875" bestFit="1" customWidth="1"/>
    <col min="1566" max="1566" width="7.85546875" bestFit="1" customWidth="1"/>
    <col min="1567" max="1567" width="5.85546875" bestFit="1" customWidth="1"/>
    <col min="1568" max="1568" width="8.85546875" bestFit="1" customWidth="1"/>
    <col min="1569" max="1569" width="5.85546875" bestFit="1" customWidth="1"/>
    <col min="1570" max="1570" width="8.85546875" bestFit="1" customWidth="1"/>
    <col min="1571" max="1571" width="5.85546875" bestFit="1" customWidth="1"/>
    <col min="1572" max="1572" width="8.85546875" bestFit="1" customWidth="1"/>
    <col min="1573" max="1573" width="5.85546875" bestFit="1" customWidth="1"/>
    <col min="1574" max="1574" width="8.85546875" bestFit="1" customWidth="1"/>
    <col min="1575" max="1575" width="5.85546875" bestFit="1" customWidth="1"/>
    <col min="1576" max="1576" width="8.85546875" bestFit="1" customWidth="1"/>
    <col min="1577" max="1577" width="5.85546875" bestFit="1" customWidth="1"/>
    <col min="1578" max="1579" width="8.85546875" bestFit="1" customWidth="1"/>
    <col min="1580" max="1580" width="5.85546875" bestFit="1" customWidth="1"/>
    <col min="1581" max="1581" width="7.85546875" bestFit="1" customWidth="1"/>
    <col min="1582" max="1582" width="4.85546875" bestFit="1" customWidth="1"/>
    <col min="1583" max="1583" width="7.85546875" bestFit="1" customWidth="1"/>
    <col min="1584" max="1584" width="4.85546875" bestFit="1" customWidth="1"/>
    <col min="1585" max="1585" width="7.85546875" bestFit="1" customWidth="1"/>
    <col min="1586" max="1586" width="4.85546875" bestFit="1" customWidth="1"/>
    <col min="1587" max="1587" width="7.85546875" bestFit="1" customWidth="1"/>
    <col min="1588" max="1588" width="4.85546875" bestFit="1" customWidth="1"/>
    <col min="1589" max="1589" width="7.85546875" bestFit="1" customWidth="1"/>
    <col min="1590" max="1590" width="5.85546875" bestFit="1" customWidth="1"/>
    <col min="1591" max="1591" width="8.85546875" bestFit="1" customWidth="1"/>
    <col min="1592" max="1592" width="5.85546875" bestFit="1" customWidth="1"/>
    <col min="1593" max="1593" width="8.85546875" bestFit="1" customWidth="1"/>
    <col min="1594" max="1594" width="5.85546875" bestFit="1" customWidth="1"/>
    <col min="1595" max="1596" width="8.85546875" bestFit="1" customWidth="1"/>
    <col min="1597" max="1597" width="5.85546875" bestFit="1" customWidth="1"/>
    <col min="1598" max="1598" width="7.85546875" bestFit="1" customWidth="1"/>
    <col min="1599" max="1599" width="4.85546875" bestFit="1" customWidth="1"/>
    <col min="1600" max="1600" width="7.85546875" bestFit="1" customWidth="1"/>
    <col min="1601" max="1601" width="4.85546875" bestFit="1" customWidth="1"/>
    <col min="1602" max="1602" width="7.85546875" bestFit="1" customWidth="1"/>
    <col min="1603" max="1603" width="5.85546875" bestFit="1" customWidth="1"/>
    <col min="1604" max="1604" width="8.85546875" bestFit="1" customWidth="1"/>
    <col min="1605" max="1605" width="5.85546875" bestFit="1" customWidth="1"/>
    <col min="1606" max="1606" width="8.85546875" bestFit="1" customWidth="1"/>
    <col min="1607" max="1607" width="5.85546875" bestFit="1" customWidth="1"/>
    <col min="1608" max="1608" width="8.85546875" bestFit="1" customWidth="1"/>
    <col min="1609" max="1609" width="5.85546875" bestFit="1" customWidth="1"/>
    <col min="1610" max="1611" width="8.85546875" bestFit="1" customWidth="1"/>
    <col min="1612" max="1612" width="5.85546875" bestFit="1" customWidth="1"/>
    <col min="1613" max="1613" width="7.85546875" bestFit="1" customWidth="1"/>
    <col min="1614" max="1614" width="5.85546875" bestFit="1" customWidth="1"/>
    <col min="1615" max="1615" width="8.85546875" bestFit="1" customWidth="1"/>
    <col min="1616" max="1616" width="5.85546875" bestFit="1" customWidth="1"/>
    <col min="1617" max="1617" width="8.85546875" bestFit="1" customWidth="1"/>
    <col min="1618" max="1619" width="5.85546875" bestFit="1" customWidth="1"/>
    <col min="1620" max="1620" width="8.85546875" bestFit="1" customWidth="1"/>
    <col min="1621" max="1621" width="5.85546875" bestFit="1" customWidth="1"/>
    <col min="1622" max="1622" width="8.85546875" bestFit="1" customWidth="1"/>
    <col min="1623" max="1623" width="5.85546875" bestFit="1" customWidth="1"/>
    <col min="1624" max="1625" width="8.85546875" bestFit="1" customWidth="1"/>
    <col min="1626" max="1626" width="5.85546875" bestFit="1" customWidth="1"/>
    <col min="1627" max="1627" width="7.85546875" bestFit="1" customWidth="1"/>
    <col min="1628" max="1628" width="4.85546875" bestFit="1" customWidth="1"/>
    <col min="1629" max="1629" width="7.85546875" bestFit="1" customWidth="1"/>
    <col min="1630" max="1630" width="8.85546875" bestFit="1" customWidth="1"/>
    <col min="1631" max="1631" width="5.85546875" bestFit="1" customWidth="1"/>
    <col min="1632" max="1632" width="7.85546875" bestFit="1" customWidth="1"/>
    <col min="1633" max="1633" width="4.85546875" bestFit="1" customWidth="1"/>
    <col min="1634" max="1634" width="7.85546875" bestFit="1" customWidth="1"/>
    <col min="1635" max="1635" width="4.85546875" bestFit="1" customWidth="1"/>
    <col min="1636" max="1636" width="7.85546875" bestFit="1" customWidth="1"/>
    <col min="1637" max="1637" width="5.85546875" bestFit="1" customWidth="1"/>
    <col min="1638" max="1638" width="8.85546875" bestFit="1" customWidth="1"/>
    <col min="1639" max="1639" width="5.85546875" bestFit="1" customWidth="1"/>
    <col min="1640" max="1640" width="8.85546875" bestFit="1" customWidth="1"/>
    <col min="1641" max="1641" width="5.85546875" bestFit="1" customWidth="1"/>
    <col min="1642" max="1642" width="8.85546875" bestFit="1" customWidth="1"/>
    <col min="1643" max="1643" width="5.85546875" bestFit="1" customWidth="1"/>
    <col min="1644" max="1645" width="8.85546875" bestFit="1" customWidth="1"/>
    <col min="1646" max="1646" width="5.85546875" bestFit="1" customWidth="1"/>
    <col min="1647" max="1647" width="7.85546875" bestFit="1" customWidth="1"/>
    <col min="1648" max="1648" width="4.85546875" bestFit="1" customWidth="1"/>
    <col min="1649" max="1649" width="7.85546875" bestFit="1" customWidth="1"/>
    <col min="1650" max="1650" width="4.85546875" bestFit="1" customWidth="1"/>
    <col min="1651" max="1651" width="7.85546875" bestFit="1" customWidth="1"/>
    <col min="1652" max="1652" width="4.85546875" bestFit="1" customWidth="1"/>
    <col min="1653" max="1653" width="7.85546875" bestFit="1" customWidth="1"/>
    <col min="1654" max="1654" width="4.85546875" bestFit="1" customWidth="1"/>
    <col min="1655" max="1655" width="7.85546875" bestFit="1" customWidth="1"/>
    <col min="1656" max="1656" width="5.85546875" bestFit="1" customWidth="1"/>
    <col min="1657" max="1657" width="8.85546875" bestFit="1" customWidth="1"/>
    <col min="1658" max="1658" width="5.85546875" bestFit="1" customWidth="1"/>
    <col min="1659" max="1659" width="8.85546875" bestFit="1" customWidth="1"/>
    <col min="1660" max="1660" width="5.85546875" bestFit="1" customWidth="1"/>
    <col min="1661" max="1661" width="8.85546875" bestFit="1" customWidth="1"/>
    <col min="1662" max="1662" width="5.85546875" bestFit="1" customWidth="1"/>
    <col min="1663" max="1663" width="8.85546875" bestFit="1" customWidth="1"/>
    <col min="1664" max="1664" width="5.85546875" bestFit="1" customWidth="1"/>
    <col min="1665" max="1666" width="8.85546875" bestFit="1" customWidth="1"/>
    <col min="1667" max="1667" width="5.85546875" bestFit="1" customWidth="1"/>
    <col min="1668" max="1668" width="7.85546875" bestFit="1" customWidth="1"/>
    <col min="1669" max="1669" width="4.85546875" bestFit="1" customWidth="1"/>
    <col min="1670" max="1670" width="7.85546875" bestFit="1" customWidth="1"/>
    <col min="1671" max="1671" width="4.85546875" bestFit="1" customWidth="1"/>
    <col min="1672" max="1672" width="7.85546875" bestFit="1" customWidth="1"/>
    <col min="1673" max="1673" width="4.85546875" bestFit="1" customWidth="1"/>
    <col min="1674" max="1674" width="7.85546875" bestFit="1" customWidth="1"/>
    <col min="1675" max="1675" width="4.85546875" bestFit="1" customWidth="1"/>
    <col min="1676" max="1676" width="7.85546875" bestFit="1" customWidth="1"/>
    <col min="1677" max="1677" width="5.85546875" bestFit="1" customWidth="1"/>
    <col min="1678" max="1678" width="8.85546875" bestFit="1" customWidth="1"/>
    <col min="1679" max="1679" width="5.85546875" bestFit="1" customWidth="1"/>
    <col min="1680" max="1680" width="8.85546875" bestFit="1" customWidth="1"/>
    <col min="1681" max="1681" width="5.85546875" bestFit="1" customWidth="1"/>
    <col min="1682" max="1682" width="8.85546875" bestFit="1" customWidth="1"/>
    <col min="1683" max="1683" width="5.85546875" bestFit="1" customWidth="1"/>
    <col min="1684" max="1685" width="8.85546875" bestFit="1" customWidth="1"/>
    <col min="1686" max="1686" width="5.85546875" bestFit="1" customWidth="1"/>
    <col min="1687" max="1687" width="7.85546875" bestFit="1" customWidth="1"/>
    <col min="1688" max="1688" width="4.85546875" bestFit="1" customWidth="1"/>
    <col min="1689" max="1689" width="7.85546875" bestFit="1" customWidth="1"/>
    <col min="1690" max="1690" width="4.85546875" bestFit="1" customWidth="1"/>
    <col min="1691" max="1691" width="7.85546875" bestFit="1" customWidth="1"/>
    <col min="1692" max="1692" width="5.85546875" bestFit="1" customWidth="1"/>
    <col min="1693" max="1694" width="8.85546875" bestFit="1" customWidth="1"/>
    <col min="1695" max="1695" width="5.85546875" bestFit="1" customWidth="1"/>
    <col min="1696" max="1696" width="7.85546875" bestFit="1" customWidth="1"/>
    <col min="1697" max="1697" width="4.85546875" bestFit="1" customWidth="1"/>
    <col min="1698" max="1698" width="7.85546875" bestFit="1" customWidth="1"/>
    <col min="1699" max="1700" width="4.85546875" bestFit="1" customWidth="1"/>
    <col min="1701" max="1701" width="7.85546875" bestFit="1" customWidth="1"/>
    <col min="1702" max="1702" width="4.85546875" bestFit="1" customWidth="1"/>
    <col min="1703" max="1703" width="7.85546875" bestFit="1" customWidth="1"/>
    <col min="1704" max="1704" width="4.85546875" bestFit="1" customWidth="1"/>
    <col min="1705" max="1705" width="7.85546875" bestFit="1" customWidth="1"/>
    <col min="1706" max="1706" width="4.85546875" bestFit="1" customWidth="1"/>
    <col min="1707" max="1707" width="7.85546875" bestFit="1" customWidth="1"/>
    <col min="1708" max="1708" width="5.85546875" bestFit="1" customWidth="1"/>
    <col min="1709" max="1709" width="8.85546875" bestFit="1" customWidth="1"/>
    <col min="1710" max="1710" width="5.85546875" bestFit="1" customWidth="1"/>
    <col min="1711" max="1711" width="8.85546875" bestFit="1" customWidth="1"/>
    <col min="1712" max="1712" width="5.85546875" bestFit="1" customWidth="1"/>
    <col min="1713" max="1713" width="8.85546875" bestFit="1" customWidth="1"/>
    <col min="1714" max="1714" width="5.85546875" bestFit="1" customWidth="1"/>
    <col min="1715" max="1716" width="8.85546875" bestFit="1" customWidth="1"/>
    <col min="1717" max="1717" width="5.85546875" bestFit="1" customWidth="1"/>
    <col min="1718" max="1718" width="7.85546875" bestFit="1" customWidth="1"/>
    <col min="1719" max="1719" width="4.85546875" bestFit="1" customWidth="1"/>
    <col min="1720" max="1720" width="7.85546875" bestFit="1" customWidth="1"/>
    <col min="1721" max="1721" width="5.85546875" bestFit="1" customWidth="1"/>
    <col min="1722" max="1722" width="8.85546875" bestFit="1" customWidth="1"/>
    <col min="1723" max="1723" width="5.85546875" bestFit="1" customWidth="1"/>
    <col min="1724" max="1724" width="8.85546875" bestFit="1" customWidth="1"/>
    <col min="1725" max="1725" width="5.85546875" bestFit="1" customWidth="1"/>
    <col min="1726" max="1726" width="8.85546875" bestFit="1" customWidth="1"/>
    <col min="1727" max="1727" width="5.85546875" bestFit="1" customWidth="1"/>
    <col min="1728" max="1729" width="8.85546875" bestFit="1" customWidth="1"/>
    <col min="1730" max="1730" width="5.85546875" bestFit="1" customWidth="1"/>
    <col min="1731" max="1731" width="7.85546875" bestFit="1" customWidth="1"/>
    <col min="1732" max="1732" width="4.85546875" bestFit="1" customWidth="1"/>
    <col min="1733" max="1733" width="7.85546875" bestFit="1" customWidth="1"/>
    <col min="1734" max="1735" width="4.85546875" bestFit="1" customWidth="1"/>
    <col min="1736" max="1736" width="7.85546875" bestFit="1" customWidth="1"/>
    <col min="1737" max="1737" width="4.85546875" bestFit="1" customWidth="1"/>
    <col min="1738" max="1738" width="7.85546875" bestFit="1" customWidth="1"/>
    <col min="1739" max="1739" width="5.85546875" bestFit="1" customWidth="1"/>
    <col min="1740" max="1740" width="8.85546875" bestFit="1" customWidth="1"/>
    <col min="1741" max="1741" width="5.85546875" bestFit="1" customWidth="1"/>
    <col min="1742" max="1742" width="8.85546875" bestFit="1" customWidth="1"/>
    <col min="1743" max="1743" width="5.85546875" bestFit="1" customWidth="1"/>
    <col min="1744" max="1744" width="8.85546875" bestFit="1" customWidth="1"/>
    <col min="1745" max="1745" width="5.85546875" bestFit="1" customWidth="1"/>
    <col min="1746" max="1747" width="8.85546875" bestFit="1" customWidth="1"/>
    <col min="1748" max="1748" width="5.85546875" bestFit="1" customWidth="1"/>
    <col min="1749" max="1749" width="7.85546875" bestFit="1" customWidth="1"/>
    <col min="1750" max="1750" width="4.85546875" bestFit="1" customWidth="1"/>
    <col min="1751" max="1751" width="7.85546875" bestFit="1" customWidth="1"/>
    <col min="1752" max="1752" width="4.85546875" bestFit="1" customWidth="1"/>
    <col min="1753" max="1753" width="7.85546875" bestFit="1" customWidth="1"/>
    <col min="1754" max="1754" width="5.85546875" bestFit="1" customWidth="1"/>
    <col min="1755" max="1755" width="8.85546875" bestFit="1" customWidth="1"/>
    <col min="1756" max="1756" width="5.85546875" bestFit="1" customWidth="1"/>
    <col min="1757" max="1758" width="8.85546875" bestFit="1" customWidth="1"/>
    <col min="1759" max="1759" width="5.85546875" bestFit="1" customWidth="1"/>
    <col min="1760" max="1760" width="7.85546875" bestFit="1" customWidth="1"/>
    <col min="1761" max="1761" width="5.85546875" bestFit="1" customWidth="1"/>
    <col min="1762" max="1762" width="8.85546875" bestFit="1" customWidth="1"/>
    <col min="1763" max="1763" width="5.85546875" bestFit="1" customWidth="1"/>
    <col min="1764" max="1764" width="8.85546875" bestFit="1" customWidth="1"/>
    <col min="1765" max="1765" width="5.85546875" bestFit="1" customWidth="1"/>
    <col min="1766" max="1766" width="8.85546875" bestFit="1" customWidth="1"/>
    <col min="1767" max="1767" width="5.85546875" bestFit="1" customWidth="1"/>
    <col min="1768" max="1768" width="8.85546875" bestFit="1" customWidth="1"/>
    <col min="1769" max="1769" width="5.85546875" bestFit="1" customWidth="1"/>
    <col min="1770" max="1770" width="8.85546875" bestFit="1" customWidth="1"/>
    <col min="1771" max="1771" width="5.85546875" bestFit="1" customWidth="1"/>
    <col min="1772" max="1773" width="8.85546875" bestFit="1" customWidth="1"/>
    <col min="1774" max="1774" width="5.85546875" bestFit="1" customWidth="1"/>
    <col min="1775" max="1775" width="7.85546875" bestFit="1" customWidth="1"/>
    <col min="1776" max="1776" width="4.85546875" bestFit="1" customWidth="1"/>
    <col min="1777" max="1777" width="7.85546875" bestFit="1" customWidth="1"/>
    <col min="1778" max="1778" width="5.85546875" bestFit="1" customWidth="1"/>
    <col min="1779" max="1779" width="8.85546875" bestFit="1" customWidth="1"/>
    <col min="1780" max="1780" width="5.85546875" bestFit="1" customWidth="1"/>
    <col min="1781" max="1782" width="8.85546875" bestFit="1" customWidth="1"/>
    <col min="1783" max="1783" width="5.85546875" bestFit="1" customWidth="1"/>
    <col min="1784" max="1784" width="7.85546875" bestFit="1" customWidth="1"/>
    <col min="1785" max="1785" width="4.85546875" bestFit="1" customWidth="1"/>
    <col min="1786" max="1786" width="7.85546875" bestFit="1" customWidth="1"/>
    <col min="1787" max="1787" width="5.85546875" bestFit="1" customWidth="1"/>
    <col min="1788" max="1789" width="8.85546875" bestFit="1" customWidth="1"/>
    <col min="1790" max="1790" width="5.85546875" bestFit="1" customWidth="1"/>
    <col min="1791" max="1791" width="7.85546875" bestFit="1" customWidth="1"/>
    <col min="1792" max="1792" width="4.85546875" bestFit="1" customWidth="1"/>
    <col min="1793" max="1793" width="7.85546875" bestFit="1" customWidth="1"/>
    <col min="1794" max="1794" width="4.85546875" bestFit="1" customWidth="1"/>
    <col min="1795" max="1795" width="7.85546875" bestFit="1" customWidth="1"/>
    <col min="1796" max="1797" width="4.85546875" bestFit="1" customWidth="1"/>
    <col min="1798" max="1798" width="7.85546875" bestFit="1" customWidth="1"/>
    <col min="1799" max="1799" width="5.85546875" bestFit="1" customWidth="1"/>
    <col min="1800" max="1800" width="8.85546875" bestFit="1" customWidth="1"/>
    <col min="1801" max="1801" width="5.85546875" bestFit="1" customWidth="1"/>
    <col min="1802" max="1802" width="8.85546875" bestFit="1" customWidth="1"/>
    <col min="1803" max="1803" width="5.85546875" bestFit="1" customWidth="1"/>
    <col min="1804" max="1804" width="8.85546875" bestFit="1" customWidth="1"/>
    <col min="1805" max="1805" width="5.85546875" bestFit="1" customWidth="1"/>
    <col min="1806" max="1807" width="8.85546875" bestFit="1" customWidth="1"/>
    <col min="1808" max="1808" width="5.85546875" bestFit="1" customWidth="1"/>
    <col min="1809" max="1809" width="7.85546875" bestFit="1" customWidth="1"/>
    <col min="1810" max="1810" width="4.85546875" bestFit="1" customWidth="1"/>
    <col min="1811" max="1811" width="7.85546875" bestFit="1" customWidth="1"/>
    <col min="1812" max="1812" width="5.85546875" bestFit="1" customWidth="1"/>
    <col min="1813" max="1813" width="8.85546875" bestFit="1" customWidth="1"/>
    <col min="1814" max="1814" width="5.85546875" bestFit="1" customWidth="1"/>
    <col min="1815" max="1815" width="8.85546875" bestFit="1" customWidth="1"/>
    <col min="1816" max="1816" width="5.85546875" bestFit="1" customWidth="1"/>
    <col min="1817" max="1817" width="8.85546875" bestFit="1" customWidth="1"/>
    <col min="1818" max="1818" width="5.85546875" bestFit="1" customWidth="1"/>
    <col min="1819" max="1819" width="8.85546875" bestFit="1" customWidth="1"/>
    <col min="1820" max="1820" width="5.85546875" bestFit="1" customWidth="1"/>
    <col min="1821" max="1821" width="8.85546875" bestFit="1" customWidth="1"/>
    <col min="1822" max="1822" width="5.85546875" bestFit="1" customWidth="1"/>
    <col min="1823" max="1823" width="8.85546875" bestFit="1" customWidth="1"/>
    <col min="1824" max="1824" width="5.85546875" bestFit="1" customWidth="1"/>
    <col min="1825" max="1825" width="8.85546875" bestFit="1" customWidth="1"/>
    <col min="1826" max="1826" width="5.85546875" bestFit="1" customWidth="1"/>
    <col min="1827" max="1827" width="8.85546875" bestFit="1" customWidth="1"/>
    <col min="1828" max="1828" width="5.85546875" bestFit="1" customWidth="1"/>
    <col min="1829" max="1830" width="8.85546875" bestFit="1" customWidth="1"/>
    <col min="1831" max="1831" width="5.85546875" bestFit="1" customWidth="1"/>
    <col min="1832" max="1832" width="7.85546875" bestFit="1" customWidth="1"/>
    <col min="1833" max="1833" width="5.85546875" bestFit="1" customWidth="1"/>
    <col min="1834" max="1834" width="8.85546875" bestFit="1" customWidth="1"/>
    <col min="1835" max="1835" width="5.85546875" bestFit="1" customWidth="1"/>
    <col min="1836" max="1836" width="8.85546875" bestFit="1" customWidth="1"/>
    <col min="1837" max="1837" width="5.85546875" bestFit="1" customWidth="1"/>
    <col min="1838" max="1839" width="8.85546875" bestFit="1" customWidth="1"/>
    <col min="1840" max="1840" width="5.85546875" bestFit="1" customWidth="1"/>
    <col min="1841" max="1841" width="7.85546875" bestFit="1" customWidth="1"/>
    <col min="1842" max="1842" width="4.85546875" bestFit="1" customWidth="1"/>
    <col min="1843" max="1843" width="7.85546875" bestFit="1" customWidth="1"/>
    <col min="1844" max="1844" width="4.85546875" bestFit="1" customWidth="1"/>
    <col min="1845" max="1845" width="7.85546875" bestFit="1" customWidth="1"/>
    <col min="1846" max="1846" width="5.85546875" bestFit="1" customWidth="1"/>
    <col min="1847" max="1848" width="8.85546875" bestFit="1" customWidth="1"/>
    <col min="1849" max="1849" width="5.85546875" bestFit="1" customWidth="1"/>
    <col min="1850" max="1850" width="7.85546875" bestFit="1" customWidth="1"/>
    <col min="1851" max="1851" width="4.85546875" bestFit="1" customWidth="1"/>
    <col min="1852" max="1852" width="7.85546875" bestFit="1" customWidth="1"/>
    <col min="1853" max="1853" width="4.85546875" bestFit="1" customWidth="1"/>
    <col min="1854" max="1854" width="7.85546875" bestFit="1" customWidth="1"/>
    <col min="1855" max="1855" width="5.85546875" bestFit="1" customWidth="1"/>
    <col min="1856" max="1856" width="8.85546875" bestFit="1" customWidth="1"/>
    <col min="1857" max="1857" width="5.85546875" bestFit="1" customWidth="1"/>
    <col min="1858" max="1858" width="8.85546875" bestFit="1" customWidth="1"/>
    <col min="1859" max="1859" width="5.85546875" bestFit="1" customWidth="1"/>
    <col min="1860" max="1861" width="8.85546875" bestFit="1" customWidth="1"/>
    <col min="1862" max="1862" width="5.85546875" bestFit="1" customWidth="1"/>
    <col min="1863" max="1863" width="7.85546875" bestFit="1" customWidth="1"/>
    <col min="1864" max="1865" width="4.85546875" bestFit="1" customWidth="1"/>
    <col min="1866" max="1866" width="7.85546875" bestFit="1" customWidth="1"/>
    <col min="1867" max="1867" width="4.85546875" bestFit="1" customWidth="1"/>
    <col min="1868" max="1868" width="7.85546875" bestFit="1" customWidth="1"/>
    <col min="1869" max="1869" width="5.85546875" bestFit="1" customWidth="1"/>
    <col min="1870" max="1870" width="8.85546875" bestFit="1" customWidth="1"/>
    <col min="1871" max="1871" width="5.85546875" bestFit="1" customWidth="1"/>
    <col min="1872" max="1872" width="8.85546875" bestFit="1" customWidth="1"/>
    <col min="1873" max="1873" width="5.85546875" bestFit="1" customWidth="1"/>
    <col min="1874" max="1875" width="8.85546875" bestFit="1" customWidth="1"/>
    <col min="1876" max="1876" width="5.85546875" bestFit="1" customWidth="1"/>
    <col min="1877" max="1877" width="7.85546875" bestFit="1" customWidth="1"/>
    <col min="1878" max="1878" width="4.85546875" bestFit="1" customWidth="1"/>
    <col min="1879" max="1879" width="7.85546875" bestFit="1" customWidth="1"/>
    <col min="1880" max="1880" width="5.85546875" bestFit="1" customWidth="1"/>
    <col min="1881" max="1881" width="8.85546875" bestFit="1" customWidth="1"/>
    <col min="1882" max="1882" width="5.85546875" bestFit="1" customWidth="1"/>
    <col min="1883" max="1883" width="8.85546875" bestFit="1" customWidth="1"/>
    <col min="1884" max="1884" width="5.85546875" bestFit="1" customWidth="1"/>
    <col min="1885" max="1886" width="8.85546875" bestFit="1" customWidth="1"/>
    <col min="1887" max="1887" width="5.85546875" bestFit="1" customWidth="1"/>
    <col min="1888" max="1888" width="7.85546875" bestFit="1" customWidth="1"/>
    <col min="1889" max="1890" width="4.85546875" bestFit="1" customWidth="1"/>
    <col min="1891" max="1891" width="7.85546875" bestFit="1" customWidth="1"/>
    <col min="1892" max="1892" width="4.85546875" bestFit="1" customWidth="1"/>
    <col min="1893" max="1893" width="7.85546875" bestFit="1" customWidth="1"/>
    <col min="1894" max="1894" width="4.85546875" bestFit="1" customWidth="1"/>
    <col min="1895" max="1895" width="7.85546875" bestFit="1" customWidth="1"/>
    <col min="1896" max="1896" width="5.85546875" bestFit="1" customWidth="1"/>
    <col min="1897" max="1897" width="8.85546875" bestFit="1" customWidth="1"/>
    <col min="1898" max="1898" width="5.85546875" bestFit="1" customWidth="1"/>
    <col min="1899" max="1900" width="8.85546875" bestFit="1" customWidth="1"/>
    <col min="1901" max="1902" width="5.85546875" bestFit="1" customWidth="1"/>
    <col min="1903" max="1903" width="7.85546875" bestFit="1" customWidth="1"/>
    <col min="1904" max="1904" width="4.85546875" bestFit="1" customWidth="1"/>
    <col min="1905" max="1905" width="7.85546875" bestFit="1" customWidth="1"/>
    <col min="1906" max="1906" width="5.85546875" bestFit="1" customWidth="1"/>
    <col min="1907" max="1907" width="8.85546875" bestFit="1" customWidth="1"/>
    <col min="1908" max="1908" width="5.85546875" bestFit="1" customWidth="1"/>
    <col min="1909" max="1910" width="8.85546875" bestFit="1" customWidth="1"/>
    <col min="1911" max="1911" width="5.85546875" bestFit="1" customWidth="1"/>
    <col min="1912" max="1912" width="7.85546875" bestFit="1" customWidth="1"/>
    <col min="1913" max="1913" width="4.85546875" bestFit="1" customWidth="1"/>
    <col min="1914" max="1914" width="7.85546875" bestFit="1" customWidth="1"/>
    <col min="1915" max="1915" width="4.85546875" bestFit="1" customWidth="1"/>
    <col min="1916" max="1916" width="7.85546875" bestFit="1" customWidth="1"/>
    <col min="1917" max="1917" width="5.85546875" bestFit="1" customWidth="1"/>
    <col min="1918" max="1918" width="8.85546875" bestFit="1" customWidth="1"/>
    <col min="1919" max="1919" width="5.85546875" bestFit="1" customWidth="1"/>
    <col min="1920" max="1920" width="8.85546875" bestFit="1" customWidth="1"/>
    <col min="1921" max="1921" width="5.85546875" bestFit="1" customWidth="1"/>
    <col min="1922" max="1923" width="8.85546875" bestFit="1" customWidth="1"/>
    <col min="1924" max="1924" width="5.85546875" bestFit="1" customWidth="1"/>
    <col min="1925" max="1925" width="7.85546875" bestFit="1" customWidth="1"/>
    <col min="1926" max="1926" width="4.85546875" bestFit="1" customWidth="1"/>
    <col min="1927" max="1927" width="7.85546875" bestFit="1" customWidth="1"/>
    <col min="1928" max="1928" width="4.85546875" bestFit="1" customWidth="1"/>
    <col min="1929" max="1929" width="7.85546875" bestFit="1" customWidth="1"/>
    <col min="1930" max="1930" width="5.85546875" bestFit="1" customWidth="1"/>
    <col min="1931" max="1931" width="8.85546875" bestFit="1" customWidth="1"/>
    <col min="1932" max="1932" width="5.85546875" bestFit="1" customWidth="1"/>
    <col min="1933" max="1933" width="8.85546875" bestFit="1" customWidth="1"/>
    <col min="1934" max="1934" width="5.85546875" bestFit="1" customWidth="1"/>
    <col min="1935" max="1935" width="8.85546875" bestFit="1" customWidth="1"/>
    <col min="1936" max="1936" width="5.85546875" bestFit="1" customWidth="1"/>
    <col min="1937" max="1938" width="8.85546875" bestFit="1" customWidth="1"/>
    <col min="1939" max="1939" width="5.85546875" bestFit="1" customWidth="1"/>
    <col min="1940" max="1940" width="7.85546875" bestFit="1" customWidth="1"/>
    <col min="1941" max="1941" width="4.85546875" bestFit="1" customWidth="1"/>
    <col min="1942" max="1942" width="7.85546875" bestFit="1" customWidth="1"/>
    <col min="1943" max="1943" width="4.85546875" bestFit="1" customWidth="1"/>
    <col min="1944" max="1944" width="7.85546875" bestFit="1" customWidth="1"/>
    <col min="1945" max="1945" width="4.85546875" bestFit="1" customWidth="1"/>
    <col min="1946" max="1946" width="7.85546875" bestFit="1" customWidth="1"/>
    <col min="1947" max="1947" width="4.85546875" bestFit="1" customWidth="1"/>
    <col min="1948" max="1948" width="7.85546875" bestFit="1" customWidth="1"/>
    <col min="1949" max="1949" width="5.85546875" bestFit="1" customWidth="1"/>
    <col min="1950" max="1950" width="8.85546875" bestFit="1" customWidth="1"/>
    <col min="1951" max="1951" width="5.85546875" bestFit="1" customWidth="1"/>
    <col min="1952" max="1952" width="8.85546875" bestFit="1" customWidth="1"/>
    <col min="1953" max="1953" width="5.85546875" bestFit="1" customWidth="1"/>
    <col min="1954" max="1954" width="8.85546875" bestFit="1" customWidth="1"/>
    <col min="1955" max="1955" width="5.85546875" bestFit="1" customWidth="1"/>
    <col min="1956" max="1957" width="8.85546875" bestFit="1" customWidth="1"/>
    <col min="1958" max="1958" width="5.85546875" bestFit="1" customWidth="1"/>
    <col min="1959" max="1959" width="7.85546875" bestFit="1" customWidth="1"/>
    <col min="1960" max="1960" width="4.85546875" bestFit="1" customWidth="1"/>
    <col min="1961" max="1961" width="7.85546875" bestFit="1" customWidth="1"/>
    <col min="1962" max="1962" width="4.85546875" bestFit="1" customWidth="1"/>
    <col min="1963" max="1963" width="7.85546875" bestFit="1" customWidth="1"/>
    <col min="1964" max="1964" width="4.85546875" bestFit="1" customWidth="1"/>
    <col min="1965" max="1965" width="7.85546875" bestFit="1" customWidth="1"/>
    <col min="1966" max="1966" width="4.85546875" bestFit="1" customWidth="1"/>
    <col min="1967" max="1967" width="7.85546875" bestFit="1" customWidth="1"/>
    <col min="1968" max="1968" width="4.85546875" bestFit="1" customWidth="1"/>
    <col min="1969" max="1969" width="7.85546875" bestFit="1" customWidth="1"/>
    <col min="1970" max="1970" width="5.85546875" bestFit="1" customWidth="1"/>
    <col min="1971" max="1971" width="8.85546875" bestFit="1" customWidth="1"/>
    <col min="1972" max="1972" width="5.85546875" bestFit="1" customWidth="1"/>
    <col min="1973" max="1974" width="8.85546875" bestFit="1" customWidth="1"/>
    <col min="1975" max="1975" width="5.85546875" bestFit="1" customWidth="1"/>
    <col min="1976" max="1976" width="8.85546875" bestFit="1" customWidth="1"/>
    <col min="1977" max="1977" width="5.85546875" bestFit="1" customWidth="1"/>
    <col min="1978" max="1978" width="8.85546875" bestFit="1" customWidth="1"/>
    <col min="1979" max="1980" width="5.85546875" bestFit="1" customWidth="1"/>
    <col min="1981" max="1981" width="8.85546875" bestFit="1" customWidth="1"/>
    <col min="1982" max="1982" width="5.85546875" bestFit="1" customWidth="1"/>
    <col min="1983" max="1984" width="8.85546875" bestFit="1" customWidth="1"/>
    <col min="1985" max="1985" width="5.85546875" bestFit="1" customWidth="1"/>
    <col min="1986" max="1986" width="7.85546875" bestFit="1" customWidth="1"/>
    <col min="1987" max="1987" width="4.85546875" bestFit="1" customWidth="1"/>
    <col min="1988" max="1988" width="7.85546875" bestFit="1" customWidth="1"/>
    <col min="1989" max="1989" width="4.85546875" bestFit="1" customWidth="1"/>
    <col min="1990" max="1990" width="7.85546875" bestFit="1" customWidth="1"/>
    <col min="1991" max="1991" width="4.85546875" bestFit="1" customWidth="1"/>
    <col min="1992" max="1992" width="7.85546875" bestFit="1" customWidth="1"/>
    <col min="1993" max="1993" width="4.85546875" bestFit="1" customWidth="1"/>
    <col min="1994" max="1994" width="7.85546875" bestFit="1" customWidth="1"/>
    <col min="1995" max="1995" width="5.85546875" bestFit="1" customWidth="1"/>
    <col min="1996" max="1996" width="8.85546875" bestFit="1" customWidth="1"/>
    <col min="1997" max="1997" width="5.85546875" bestFit="1" customWidth="1"/>
    <col min="1998" max="1998" width="8.85546875" bestFit="1" customWidth="1"/>
    <col min="1999" max="1999" width="5.85546875" bestFit="1" customWidth="1"/>
    <col min="2000" max="2001" width="8.85546875" bestFit="1" customWidth="1"/>
    <col min="2002" max="2002" width="5.85546875" bestFit="1" customWidth="1"/>
    <col min="2003" max="2003" width="7.85546875" bestFit="1" customWidth="1"/>
    <col min="2004" max="2004" width="5.85546875" bestFit="1" customWidth="1"/>
    <col min="2005" max="2006" width="8.85546875" bestFit="1" customWidth="1"/>
    <col min="2007" max="2007" width="5.85546875" bestFit="1" customWidth="1"/>
    <col min="2008" max="2008" width="7.85546875" bestFit="1" customWidth="1"/>
    <col min="2009" max="2009" width="4.85546875" bestFit="1" customWidth="1"/>
    <col min="2010" max="2010" width="7.85546875" bestFit="1" customWidth="1"/>
    <col min="2011" max="2011" width="4.85546875" bestFit="1" customWidth="1"/>
    <col min="2012" max="2012" width="7.85546875" bestFit="1" customWidth="1"/>
    <col min="2013" max="2013" width="4.85546875" bestFit="1" customWidth="1"/>
    <col min="2014" max="2014" width="7.85546875" bestFit="1" customWidth="1"/>
    <col min="2015" max="2015" width="5.85546875" bestFit="1" customWidth="1"/>
    <col min="2016" max="2016" width="8.85546875" bestFit="1" customWidth="1"/>
    <col min="2017" max="2017" width="5.85546875" bestFit="1" customWidth="1"/>
    <col min="2018" max="2018" width="8.85546875" bestFit="1" customWidth="1"/>
    <col min="2019" max="2019" width="5.85546875" bestFit="1" customWidth="1"/>
    <col min="2020" max="2020" width="8.85546875" bestFit="1" customWidth="1"/>
    <col min="2021" max="2021" width="5.85546875" bestFit="1" customWidth="1"/>
    <col min="2022" max="2023" width="8.85546875" bestFit="1" customWidth="1"/>
    <col min="2024" max="2024" width="5.85546875" bestFit="1" customWidth="1"/>
    <col min="2025" max="2025" width="8.85546875" bestFit="1" customWidth="1"/>
    <col min="2026" max="2026" width="5.85546875" bestFit="1" customWidth="1"/>
    <col min="2027" max="2027" width="8.85546875" bestFit="1" customWidth="1"/>
    <col min="2028" max="2028" width="5.85546875" bestFit="1" customWidth="1"/>
    <col min="2029" max="2030" width="8.85546875" bestFit="1" customWidth="1"/>
    <col min="2031" max="2031" width="5.85546875" bestFit="1" customWidth="1"/>
    <col min="2032" max="2032" width="7.85546875" bestFit="1" customWidth="1"/>
    <col min="2033" max="2033" width="4.85546875" bestFit="1" customWidth="1"/>
    <col min="2034" max="2034" width="7.85546875" bestFit="1" customWidth="1"/>
    <col min="2035" max="2035" width="5.85546875" bestFit="1" customWidth="1"/>
    <col min="2036" max="2036" width="8.85546875" bestFit="1" customWidth="1"/>
    <col min="2037" max="2037" width="5.85546875" bestFit="1" customWidth="1"/>
    <col min="2038" max="2038" width="8.85546875" bestFit="1" customWidth="1"/>
    <col min="2039" max="2039" width="5.85546875" bestFit="1" customWidth="1"/>
    <col min="2040" max="2040" width="8.85546875" bestFit="1" customWidth="1"/>
    <col min="2041" max="2041" width="5.85546875" bestFit="1" customWidth="1"/>
    <col min="2042" max="2042" width="8.85546875" bestFit="1" customWidth="1"/>
    <col min="2043" max="2043" width="5.85546875" bestFit="1" customWidth="1"/>
    <col min="2044" max="2045" width="8.85546875" bestFit="1" customWidth="1"/>
    <col min="2046" max="2046" width="5.85546875" bestFit="1" customWidth="1"/>
    <col min="2047" max="2047" width="7.85546875" bestFit="1" customWidth="1"/>
    <col min="2048" max="2048" width="4.85546875" bestFit="1" customWidth="1"/>
    <col min="2049" max="2049" width="7.85546875" bestFit="1" customWidth="1"/>
    <col min="2050" max="2050" width="4.85546875" bestFit="1" customWidth="1"/>
    <col min="2051" max="2051" width="7.85546875" bestFit="1" customWidth="1"/>
    <col min="2052" max="2052" width="4.85546875" bestFit="1" customWidth="1"/>
    <col min="2053" max="2053" width="7.85546875" bestFit="1" customWidth="1"/>
    <col min="2054" max="2054" width="4.85546875" bestFit="1" customWidth="1"/>
    <col min="2055" max="2055" width="7.85546875" bestFit="1" customWidth="1"/>
    <col min="2056" max="2056" width="5.85546875" bestFit="1" customWidth="1"/>
    <col min="2057" max="2058" width="8.85546875" bestFit="1" customWidth="1"/>
    <col min="2059" max="2059" width="5.85546875" bestFit="1" customWidth="1"/>
    <col min="2060" max="2060" width="7.85546875" bestFit="1" customWidth="1"/>
    <col min="2061" max="2061" width="4.85546875" bestFit="1" customWidth="1"/>
    <col min="2062" max="2062" width="7.85546875" bestFit="1" customWidth="1"/>
    <col min="2063" max="2063" width="4.85546875" bestFit="1" customWidth="1"/>
    <col min="2064" max="2064" width="7.85546875" bestFit="1" customWidth="1"/>
    <col min="2065" max="2065" width="4.85546875" bestFit="1" customWidth="1"/>
    <col min="2066" max="2066" width="7.85546875" bestFit="1" customWidth="1"/>
    <col min="2067" max="2067" width="5.85546875" bestFit="1" customWidth="1"/>
    <col min="2068" max="2068" width="8.85546875" bestFit="1" customWidth="1"/>
    <col min="2069" max="2069" width="5.85546875" bestFit="1" customWidth="1"/>
    <col min="2070" max="2070" width="8.85546875" bestFit="1" customWidth="1"/>
    <col min="2071" max="2071" width="5.85546875" bestFit="1" customWidth="1"/>
    <col min="2072" max="2072" width="8.85546875" bestFit="1" customWidth="1"/>
    <col min="2073" max="2073" width="5.85546875" bestFit="1" customWidth="1"/>
    <col min="2074" max="2074" width="8.85546875" bestFit="1" customWidth="1"/>
    <col min="2075" max="2075" width="5.85546875" bestFit="1" customWidth="1"/>
    <col min="2076" max="2077" width="8.85546875" bestFit="1" customWidth="1"/>
    <col min="2078" max="2078" width="5.85546875" bestFit="1" customWidth="1"/>
    <col min="2079" max="2079" width="7.85546875" bestFit="1" customWidth="1"/>
    <col min="2080" max="2080" width="4.85546875" bestFit="1" customWidth="1"/>
    <col min="2081" max="2081" width="7.85546875" bestFit="1" customWidth="1"/>
    <col min="2082" max="2082" width="4.85546875" bestFit="1" customWidth="1"/>
    <col min="2083" max="2083" width="7.85546875" bestFit="1" customWidth="1"/>
    <col min="2084" max="2084" width="4.85546875" bestFit="1" customWidth="1"/>
    <col min="2085" max="2085" width="7.85546875" bestFit="1" customWidth="1"/>
    <col min="2086" max="2086" width="5.85546875" bestFit="1" customWidth="1"/>
    <col min="2087" max="2087" width="8.85546875" bestFit="1" customWidth="1"/>
    <col min="2088" max="2088" width="5.85546875" bestFit="1" customWidth="1"/>
    <col min="2089" max="2089" width="8.85546875" bestFit="1" customWidth="1"/>
    <col min="2090" max="2090" width="5.85546875" bestFit="1" customWidth="1"/>
    <col min="2091" max="2092" width="8.85546875" bestFit="1" customWidth="1"/>
    <col min="2093" max="2093" width="5.85546875" bestFit="1" customWidth="1"/>
    <col min="2094" max="2094" width="7.85546875" bestFit="1" customWidth="1"/>
    <col min="2095" max="2095" width="4.85546875" bestFit="1" customWidth="1"/>
    <col min="2096" max="2096" width="7.85546875" bestFit="1" customWidth="1"/>
    <col min="2097" max="2097" width="4.85546875" bestFit="1" customWidth="1"/>
    <col min="2098" max="2098" width="7.85546875" bestFit="1" customWidth="1"/>
    <col min="2099" max="2099" width="4.85546875" bestFit="1" customWidth="1"/>
    <col min="2100" max="2100" width="7.85546875" bestFit="1" customWidth="1"/>
    <col min="2101" max="2101" width="5.85546875" bestFit="1" customWidth="1"/>
    <col min="2102" max="2102" width="8.85546875" bestFit="1" customWidth="1"/>
    <col min="2103" max="2103" width="5.85546875" bestFit="1" customWidth="1"/>
    <col min="2104" max="2104" width="8.85546875" bestFit="1" customWidth="1"/>
    <col min="2105" max="2105" width="5.85546875" bestFit="1" customWidth="1"/>
    <col min="2106" max="2107" width="8.85546875" bestFit="1" customWidth="1"/>
    <col min="2108" max="2108" width="5.85546875" bestFit="1" customWidth="1"/>
    <col min="2109" max="2109" width="8.85546875" bestFit="1" customWidth="1"/>
    <col min="2110" max="2110" width="5.85546875" bestFit="1" customWidth="1"/>
    <col min="2111" max="2111" width="8.85546875" bestFit="1" customWidth="1"/>
    <col min="2112" max="2112" width="5.85546875" bestFit="1" customWidth="1"/>
    <col min="2113" max="2113" width="8.85546875" bestFit="1" customWidth="1"/>
    <col min="2114" max="2114" width="5.85546875" bestFit="1" customWidth="1"/>
    <col min="2115" max="2115" width="8.85546875" bestFit="1" customWidth="1"/>
    <col min="2116" max="2116" width="5.85546875" bestFit="1" customWidth="1"/>
    <col min="2117" max="2117" width="8.85546875" bestFit="1" customWidth="1"/>
    <col min="2118" max="2118" width="5.85546875" bestFit="1" customWidth="1"/>
    <col min="2119" max="2119" width="8.85546875" bestFit="1" customWidth="1"/>
    <col min="2120" max="2120" width="5.85546875" bestFit="1" customWidth="1"/>
    <col min="2121" max="2122" width="8.85546875" bestFit="1" customWidth="1"/>
    <col min="2123" max="2123" width="5.85546875" bestFit="1" customWidth="1"/>
    <col min="2124" max="2124" width="7.85546875" bestFit="1" customWidth="1"/>
    <col min="2125" max="2125" width="4.85546875" bestFit="1" customWidth="1"/>
    <col min="2126" max="2126" width="7.85546875" bestFit="1" customWidth="1"/>
    <col min="2127" max="2127" width="4.85546875" bestFit="1" customWidth="1"/>
    <col min="2128" max="2128" width="7.85546875" bestFit="1" customWidth="1"/>
    <col min="2129" max="2129" width="4.85546875" bestFit="1" customWidth="1"/>
    <col min="2130" max="2130" width="7.85546875" bestFit="1" customWidth="1"/>
    <col min="2131" max="2131" width="5.85546875" bestFit="1" customWidth="1"/>
    <col min="2132" max="2132" width="8.85546875" bestFit="1" customWidth="1"/>
    <col min="2133" max="2133" width="5.85546875" bestFit="1" customWidth="1"/>
    <col min="2134" max="2134" width="8.85546875" bestFit="1" customWidth="1"/>
    <col min="2135" max="2135" width="5.85546875" bestFit="1" customWidth="1"/>
    <col min="2136" max="2136" width="8.85546875" bestFit="1" customWidth="1"/>
    <col min="2137" max="2137" width="5.85546875" bestFit="1" customWidth="1"/>
    <col min="2138" max="2139" width="8.85546875" bestFit="1" customWidth="1"/>
    <col min="2140" max="2140" width="11.28515625" bestFit="1" customWidth="1"/>
  </cols>
  <sheetData>
    <row r="1" spans="2:163" x14ac:dyDescent="0.25">
      <c r="B1" s="6" t="s">
        <v>3</v>
      </c>
      <c r="C1" s="7">
        <v>1</v>
      </c>
      <c r="F1" s="6" t="s">
        <v>11</v>
      </c>
      <c r="G1" s="7">
        <v>2023</v>
      </c>
      <c r="O1" s="6" t="s">
        <v>1</v>
      </c>
      <c r="P1" t="s">
        <v>13</v>
      </c>
    </row>
    <row r="2" spans="2:163" x14ac:dyDescent="0.25">
      <c r="O2" s="6" t="s">
        <v>11</v>
      </c>
      <c r="P2" t="s">
        <v>1071</v>
      </c>
    </row>
    <row r="3" spans="2:163" x14ac:dyDescent="0.25">
      <c r="B3" s="6" t="s">
        <v>1059</v>
      </c>
      <c r="C3" t="s">
        <v>1062</v>
      </c>
      <c r="F3" s="6" t="s">
        <v>1064</v>
      </c>
      <c r="G3" s="6" t="s">
        <v>1061</v>
      </c>
      <c r="K3" s="6" t="s">
        <v>1059</v>
      </c>
      <c r="L3" t="s">
        <v>1063</v>
      </c>
      <c r="M3" t="s">
        <v>1065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</row>
    <row r="4" spans="2:163" x14ac:dyDescent="0.25">
      <c r="B4" s="7" t="s">
        <v>24</v>
      </c>
      <c r="C4" s="8">
        <v>411</v>
      </c>
      <c r="F4" s="6" t="s">
        <v>1059</v>
      </c>
      <c r="G4" t="s">
        <v>20</v>
      </c>
      <c r="H4" t="s">
        <v>13</v>
      </c>
      <c r="I4" t="s">
        <v>1060</v>
      </c>
      <c r="K4" s="7">
        <v>2023</v>
      </c>
      <c r="L4" s="8">
        <v>673</v>
      </c>
      <c r="M4" s="8">
        <v>170</v>
      </c>
      <c r="O4" s="6" t="s">
        <v>1059</v>
      </c>
      <c r="P4" t="s">
        <v>1068</v>
      </c>
      <c r="Q4" t="s">
        <v>1069</v>
      </c>
      <c r="R4" t="s">
        <v>1070</v>
      </c>
    </row>
    <row r="5" spans="2:163" x14ac:dyDescent="0.25">
      <c r="B5" s="7" t="s">
        <v>36</v>
      </c>
      <c r="C5" s="8">
        <v>416.73333333333335</v>
      </c>
      <c r="F5" s="7" t="s">
        <v>16</v>
      </c>
      <c r="G5" s="8">
        <v>28</v>
      </c>
      <c r="H5" s="8">
        <v>23</v>
      </c>
      <c r="I5" s="8">
        <v>51</v>
      </c>
      <c r="K5" s="9" t="s">
        <v>20</v>
      </c>
      <c r="L5" s="8">
        <v>673</v>
      </c>
      <c r="M5" s="8">
        <v>176</v>
      </c>
      <c r="O5" s="7" t="s">
        <v>21</v>
      </c>
      <c r="P5" s="8">
        <v>359</v>
      </c>
      <c r="Q5" s="8">
        <v>180</v>
      </c>
      <c r="R5" s="8">
        <v>174</v>
      </c>
    </row>
    <row r="6" spans="2:163" x14ac:dyDescent="0.25">
      <c r="B6" s="7" t="s">
        <v>31</v>
      </c>
      <c r="C6" s="8">
        <v>444.33333333333331</v>
      </c>
      <c r="F6" s="7" t="s">
        <v>25</v>
      </c>
      <c r="G6" s="8">
        <v>28</v>
      </c>
      <c r="H6" s="8">
        <v>22</v>
      </c>
      <c r="I6" s="8">
        <v>50</v>
      </c>
      <c r="K6" s="9" t="s">
        <v>13</v>
      </c>
      <c r="L6" s="8">
        <v>671</v>
      </c>
      <c r="M6" s="8">
        <v>170</v>
      </c>
      <c r="O6" s="7" t="s">
        <v>37</v>
      </c>
      <c r="P6" s="8">
        <v>336</v>
      </c>
      <c r="Q6" s="8">
        <v>172</v>
      </c>
      <c r="R6" s="8">
        <v>170</v>
      </c>
    </row>
    <row r="7" spans="2:163" x14ac:dyDescent="0.25">
      <c r="B7" s="7" t="s">
        <v>21</v>
      </c>
      <c r="C7" s="8">
        <v>433.5625</v>
      </c>
      <c r="F7" s="7" t="s">
        <v>22</v>
      </c>
      <c r="G7" s="8">
        <v>24</v>
      </c>
      <c r="H7" s="8">
        <v>17</v>
      </c>
      <c r="I7" s="8">
        <v>41</v>
      </c>
      <c r="K7" s="7">
        <v>2024</v>
      </c>
      <c r="L7" s="8">
        <v>658</v>
      </c>
      <c r="M7" s="8">
        <v>182</v>
      </c>
      <c r="O7" s="7" t="s">
        <v>15</v>
      </c>
      <c r="P7" s="8">
        <v>352</v>
      </c>
      <c r="Q7" s="8">
        <v>180</v>
      </c>
      <c r="R7" s="8">
        <v>180</v>
      </c>
    </row>
    <row r="8" spans="2:163" x14ac:dyDescent="0.25">
      <c r="B8" s="7" t="s">
        <v>69</v>
      </c>
      <c r="C8" s="8">
        <v>433.3</v>
      </c>
      <c r="F8" s="7" t="s">
        <v>29</v>
      </c>
      <c r="G8" s="8">
        <v>17</v>
      </c>
      <c r="H8" s="8">
        <v>28</v>
      </c>
      <c r="I8" s="8">
        <v>45</v>
      </c>
      <c r="K8" s="9" t="s">
        <v>20</v>
      </c>
      <c r="L8" s="8">
        <v>657</v>
      </c>
      <c r="M8" s="8">
        <v>208</v>
      </c>
      <c r="O8" s="7" t="s">
        <v>32</v>
      </c>
      <c r="P8" s="8">
        <v>356</v>
      </c>
      <c r="Q8" s="8">
        <v>167</v>
      </c>
      <c r="R8" s="8">
        <v>169</v>
      </c>
    </row>
    <row r="9" spans="2:163" x14ac:dyDescent="0.25">
      <c r="B9" s="7" t="s">
        <v>46</v>
      </c>
      <c r="C9" s="8">
        <v>404.36363636363637</v>
      </c>
      <c r="F9" s="7" t="s">
        <v>34</v>
      </c>
      <c r="G9" s="8">
        <v>29</v>
      </c>
      <c r="H9" s="8">
        <v>37</v>
      </c>
      <c r="I9" s="8">
        <v>66</v>
      </c>
      <c r="K9" s="9" t="s">
        <v>13</v>
      </c>
      <c r="L9" s="8">
        <v>658</v>
      </c>
      <c r="M9" s="8">
        <v>182</v>
      </c>
      <c r="O9" s="7" t="s">
        <v>70</v>
      </c>
      <c r="P9" s="8">
        <v>338</v>
      </c>
      <c r="Q9" s="8">
        <v>167</v>
      </c>
      <c r="R9" s="8">
        <v>178</v>
      </c>
    </row>
    <row r="10" spans="2:163" x14ac:dyDescent="0.25">
      <c r="B10" s="7" t="s">
        <v>48</v>
      </c>
      <c r="C10" s="8">
        <v>409.44444444444446</v>
      </c>
      <c r="F10" s="7" t="s">
        <v>1060</v>
      </c>
      <c r="G10" s="8">
        <v>126</v>
      </c>
      <c r="H10" s="8">
        <v>127</v>
      </c>
      <c r="I10" s="8">
        <v>253</v>
      </c>
      <c r="K10" s="7">
        <v>2025</v>
      </c>
      <c r="L10" s="8">
        <v>664</v>
      </c>
      <c r="M10" s="8">
        <v>145</v>
      </c>
      <c r="O10" s="7" t="s">
        <v>49</v>
      </c>
      <c r="P10" s="8">
        <v>303</v>
      </c>
      <c r="Q10" s="8">
        <v>169</v>
      </c>
      <c r="R10" s="8">
        <v>174</v>
      </c>
    </row>
    <row r="11" spans="2:163" x14ac:dyDescent="0.25">
      <c r="B11" s="7" t="s">
        <v>53</v>
      </c>
      <c r="C11" s="8">
        <v>439.70588235294116</v>
      </c>
      <c r="K11" s="9" t="s">
        <v>20</v>
      </c>
      <c r="L11" s="8">
        <v>664</v>
      </c>
      <c r="M11" s="8">
        <v>174</v>
      </c>
    </row>
    <row r="12" spans="2:163" x14ac:dyDescent="0.25">
      <c r="B12" s="7" t="s">
        <v>40</v>
      </c>
      <c r="C12" s="8">
        <v>389.76470588235293</v>
      </c>
      <c r="K12" s="9" t="s">
        <v>13</v>
      </c>
      <c r="L12" s="8">
        <v>653</v>
      </c>
      <c r="M12" s="8">
        <v>145</v>
      </c>
    </row>
    <row r="13" spans="2:163" x14ac:dyDescent="0.25">
      <c r="B13" s="7" t="s">
        <v>62</v>
      </c>
      <c r="C13" s="8">
        <v>431</v>
      </c>
      <c r="K13" s="7">
        <v>2026</v>
      </c>
      <c r="L13" s="8">
        <v>647</v>
      </c>
      <c r="M13" s="8">
        <v>159</v>
      </c>
    </row>
    <row r="14" spans="2:163" x14ac:dyDescent="0.25">
      <c r="B14" s="7" t="s">
        <v>14</v>
      </c>
      <c r="C14" s="8">
        <v>435.4375</v>
      </c>
      <c r="F14" t="s">
        <v>1066</v>
      </c>
      <c r="K14" s="9" t="s">
        <v>20</v>
      </c>
      <c r="L14" s="8">
        <v>647</v>
      </c>
      <c r="M14" s="8">
        <v>175</v>
      </c>
    </row>
    <row r="15" spans="2:163" x14ac:dyDescent="0.25">
      <c r="B15" s="7" t="s">
        <v>27</v>
      </c>
      <c r="C15" s="8">
        <v>414.3</v>
      </c>
      <c r="K15" s="9" t="s">
        <v>13</v>
      </c>
      <c r="L15" s="8">
        <v>647</v>
      </c>
      <c r="M15" s="8">
        <v>159</v>
      </c>
    </row>
    <row r="16" spans="2:163" x14ac:dyDescent="0.25">
      <c r="B16" s="7" t="s">
        <v>42</v>
      </c>
      <c r="C16" s="8">
        <v>402.6</v>
      </c>
      <c r="K16" s="7" t="s">
        <v>1060</v>
      </c>
      <c r="L16" s="8">
        <v>673</v>
      </c>
      <c r="M16" s="8">
        <v>145</v>
      </c>
    </row>
    <row r="17" spans="2:3" x14ac:dyDescent="0.25">
      <c r="B17" s="7" t="s">
        <v>73</v>
      </c>
      <c r="C17" s="8">
        <v>384.2</v>
      </c>
    </row>
    <row r="18" spans="2:3" x14ac:dyDescent="0.25">
      <c r="B18" s="7" t="s">
        <v>18</v>
      </c>
      <c r="C18" s="8">
        <v>401.61111111111109</v>
      </c>
    </row>
    <row r="19" spans="2:3" x14ac:dyDescent="0.25">
      <c r="B19" s="7" t="s">
        <v>1060</v>
      </c>
      <c r="C19" s="8">
        <v>417.58091286307052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085B-F136-4A27-A28A-A70038132F83}">
  <dimension ref="B2:E21"/>
  <sheetViews>
    <sheetView topLeftCell="A4" workbookViewId="0">
      <selection activeCell="C16" sqref="C16"/>
    </sheetView>
  </sheetViews>
  <sheetFormatPr defaultRowHeight="15" x14ac:dyDescent="0.25"/>
  <cols>
    <col min="2" max="2" width="12" bestFit="1" customWidth="1"/>
    <col min="3" max="3" width="18.140625" bestFit="1" customWidth="1"/>
    <col min="4" max="4" width="20.5703125" bestFit="1" customWidth="1"/>
    <col min="5" max="5" width="18.140625" bestFit="1" customWidth="1"/>
  </cols>
  <sheetData>
    <row r="2" spans="2:5" x14ac:dyDescent="0.25">
      <c r="B2" s="10" t="s">
        <v>1072</v>
      </c>
      <c r="C2">
        <v>2023</v>
      </c>
    </row>
    <row r="3" spans="2:5" x14ac:dyDescent="0.25">
      <c r="B3" s="10" t="s">
        <v>1073</v>
      </c>
      <c r="C3">
        <v>2</v>
      </c>
    </row>
    <row r="4" spans="2:5" x14ac:dyDescent="0.25">
      <c r="B4" s="10" t="s">
        <v>1</v>
      </c>
      <c r="C4" t="s">
        <v>20</v>
      </c>
    </row>
    <row r="6" spans="2:5" x14ac:dyDescent="0.25">
      <c r="B6" s="10" t="s">
        <v>4</v>
      </c>
      <c r="C6" s="10" t="s">
        <v>7</v>
      </c>
      <c r="D6" s="10" t="s">
        <v>8</v>
      </c>
      <c r="E6" s="10" t="s">
        <v>9</v>
      </c>
    </row>
    <row r="7" spans="2:5" x14ac:dyDescent="0.25">
      <c r="B7" s="10" t="s">
        <v>14</v>
      </c>
      <c r="C7">
        <f>AVERAGEIFS(NEET[Physics_Marks_180],NEET[City],Analysis!B7,NEET[Exam_Year],Analysis!$C$2,NEET[Attempt_No],Analysis!$C$3,NEET[Gender],Analysis!$C$4)</f>
        <v>129.33333333333334</v>
      </c>
    </row>
    <row r="8" spans="2:5" x14ac:dyDescent="0.25">
      <c r="B8" s="10" t="s">
        <v>18</v>
      </c>
      <c r="C8">
        <f>AVERAGEIFS(NEET[Physics_Marks_180],NEET[City],Analysis!B8,NEET[Exam_Year],Analysis!$C$2,NEET[Attempt_No],Analysis!$C$3,NEET[Gender],Analysis!$C$4)</f>
        <v>120</v>
      </c>
    </row>
    <row r="9" spans="2:5" x14ac:dyDescent="0.25">
      <c r="B9" s="10" t="s">
        <v>21</v>
      </c>
      <c r="C9">
        <f>AVERAGEIFS(NEET[Physics_Marks_180],NEET[City],Analysis!B9,NEET[Exam_Year],Analysis!$C$2,NEET[Attempt_No],Analysis!$C$3,NEET[Gender],Analysis!$C$4)</f>
        <v>131.5</v>
      </c>
    </row>
    <row r="10" spans="2:5" x14ac:dyDescent="0.25">
      <c r="B10" s="10" t="s">
        <v>24</v>
      </c>
      <c r="C10">
        <f>AVERAGEIFS(NEET[Physics_Marks_180],NEET[City],Analysis!B10,NEET[Exam_Year],Analysis!$C$2,NEET[Attempt_No],Analysis!$C$3,NEET[Gender],Analysis!$C$4)</f>
        <v>81.400000000000006</v>
      </c>
    </row>
    <row r="11" spans="2:5" x14ac:dyDescent="0.25">
      <c r="B11" s="10" t="s">
        <v>27</v>
      </c>
      <c r="C11">
        <f>AVERAGEIFS(NEET[Physics_Marks_180],NEET[City],Analysis!B11,NEET[Exam_Year],Analysis!$C$2,NEET[Attempt_No],Analysis!$C$3,NEET[Gender],Analysis!$C$4)</f>
        <v>110.5</v>
      </c>
    </row>
    <row r="12" spans="2:5" x14ac:dyDescent="0.25">
      <c r="B12" s="10" t="s">
        <v>31</v>
      </c>
      <c r="C12">
        <f>AVERAGEIFS(NEET[Physics_Marks_180],NEET[City],Analysis!B12,NEET[Exam_Year],Analysis!$C$2,NEET[Attempt_No],Analysis!$C$3,NEET[Gender],Analysis!$C$4)</f>
        <v>113.5</v>
      </c>
    </row>
    <row r="13" spans="2:5" x14ac:dyDescent="0.25">
      <c r="B13" s="10" t="s">
        <v>36</v>
      </c>
      <c r="C13">
        <f>AVERAGEIFS(NEET[Physics_Marks_180],NEET[City],Analysis!B13,NEET[Exam_Year],Analysis!$C$2,NEET[Attempt_No],Analysis!$C$3,NEET[Gender],Analysis!$C$4)</f>
        <v>118</v>
      </c>
    </row>
    <row r="14" spans="2:5" x14ac:dyDescent="0.25">
      <c r="B14" s="10" t="s">
        <v>40</v>
      </c>
      <c r="C14" t="e">
        <f>AVERAGEIFS(NEET[Physics_Marks_180],NEET[City],Analysis!B14,NEET[Exam_Year],Analysis!$C$2,NEET[Attempt_No],Analysis!$C$3,NEET[Gender],Analysis!$C$4)</f>
        <v>#DIV/0!</v>
      </c>
    </row>
    <row r="15" spans="2:5" x14ac:dyDescent="0.25">
      <c r="B15" s="10" t="s">
        <v>42</v>
      </c>
      <c r="C15">
        <f>AVERAGEIFS(NEET[Physics_Marks_180],NEET[City],Analysis!B15,NEET[Exam_Year],Analysis!$C$2,NEET[Attempt_No],Analysis!$C$3,NEET[Gender],Analysis!$C$4)</f>
        <v>116</v>
      </c>
    </row>
    <row r="16" spans="2:5" x14ac:dyDescent="0.25">
      <c r="B16" s="10" t="s">
        <v>46</v>
      </c>
      <c r="C16" t="e">
        <f>AVERAGEIFS(NEET[Physics_Marks_180],NEET[City],Analysis!B16,NEET[Exam_Year],Analysis!$C$2,NEET[Attempt_No],Analysis!$C$3,NEET[Gender],Analysis!$C$4)</f>
        <v>#DIV/0!</v>
      </c>
    </row>
    <row r="17" spans="2:3" x14ac:dyDescent="0.25">
      <c r="B17" s="10" t="s">
        <v>48</v>
      </c>
      <c r="C17">
        <f>AVERAGEIFS(NEET[Physics_Marks_180],NEET[City],Analysis!B17,NEET[Exam_Year],Analysis!$C$2,NEET[Attempt_No],Analysis!$C$3,NEET[Gender],Analysis!$C$4)</f>
        <v>127.33333333333333</v>
      </c>
    </row>
    <row r="18" spans="2:3" x14ac:dyDescent="0.25">
      <c r="B18" s="10" t="s">
        <v>53</v>
      </c>
      <c r="C18">
        <f>AVERAGEIFS(NEET[Physics_Marks_180],NEET[City],Analysis!B18,NEET[Exam_Year],Analysis!$C$2,NEET[Attempt_No],Analysis!$C$3,NEET[Gender],Analysis!$C$4)</f>
        <v>111.4</v>
      </c>
    </row>
    <row r="19" spans="2:3" x14ac:dyDescent="0.25">
      <c r="B19" s="10" t="s">
        <v>62</v>
      </c>
      <c r="C19">
        <f>AVERAGEIFS(NEET[Physics_Marks_180],NEET[City],Analysis!B19,NEET[Exam_Year],Analysis!$C$2,NEET[Attempt_No],Analysis!$C$3,NEET[Gender],Analysis!$C$4)</f>
        <v>63.666666666666664</v>
      </c>
    </row>
    <row r="20" spans="2:3" x14ac:dyDescent="0.25">
      <c r="B20" s="10" t="s">
        <v>69</v>
      </c>
      <c r="C20">
        <f>AVERAGEIFS(NEET[Physics_Marks_180],NEET[City],Analysis!B20,NEET[Exam_Year],Analysis!$C$2,NEET[Attempt_No],Analysis!$C$3,NEET[Gender],Analysis!$C$4)</f>
        <v>166.5</v>
      </c>
    </row>
    <row r="21" spans="2:3" x14ac:dyDescent="0.25">
      <c r="B21" s="10" t="s">
        <v>73</v>
      </c>
      <c r="C21">
        <f>AVERAGEIFS(NEET[Physics_Marks_180],NEET[City],Analysis!B21,NEET[Exam_Year],Analysis!$C$2,NEET[Attempt_No],Analysis!$C$3,NEET[Gender],Analysis!$C$4)</f>
        <v>80</v>
      </c>
    </row>
  </sheetData>
  <dataValidations count="2">
    <dataValidation type="list" allowBlank="1" showInputMessage="1" showErrorMessage="1" sqref="C3" xr:uid="{8910098C-BAD6-4BA1-8B75-3AEE23F10205}">
      <formula1>"1,2,3,4"</formula1>
    </dataValidation>
    <dataValidation type="list" allowBlank="1" showInputMessage="1" showErrorMessage="1" sqref="C4" xr:uid="{A41E5B5A-53A9-46C4-ACFD-CD8CFDDBD1F5}">
      <formula1>"Male,Female"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3706E9-FDC4-41D3-8BE1-E54531D64469}">
          <x14:formula1>
            <xm:f>'Rough Work'!$F$2:$F$5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0009-96EA-4892-A2E6-B44E824092D9}">
  <dimension ref="B2:AG34"/>
  <sheetViews>
    <sheetView tabSelected="1" topLeftCell="AB1" workbookViewId="0">
      <selection activeCell="AG18" sqref="AG18"/>
    </sheetView>
  </sheetViews>
  <sheetFormatPr defaultRowHeight="15" x14ac:dyDescent="0.25"/>
  <cols>
    <col min="2" max="2" width="13.140625" bestFit="1" customWidth="1"/>
    <col min="3" max="3" width="26.42578125" bestFit="1" customWidth="1"/>
    <col min="4" max="4" width="26.42578125" customWidth="1"/>
    <col min="6" max="6" width="13.140625" bestFit="1" customWidth="1"/>
    <col min="7" max="7" width="26.42578125" bestFit="1" customWidth="1"/>
    <col min="8" max="8" width="24.28515625" customWidth="1"/>
    <col min="10" max="10" width="13.140625" bestFit="1" customWidth="1"/>
    <col min="11" max="11" width="26.42578125" bestFit="1" customWidth="1"/>
    <col min="12" max="12" width="26.42578125" customWidth="1"/>
    <col min="14" max="14" width="13.140625" bestFit="1" customWidth="1"/>
    <col min="15" max="15" width="24.28515625" bestFit="1" customWidth="1"/>
    <col min="16" max="16" width="26.42578125" customWidth="1"/>
    <col min="18" max="18" width="13.140625" bestFit="1" customWidth="1"/>
    <col min="19" max="19" width="24.28515625" bestFit="1" customWidth="1"/>
    <col min="21" max="21" width="13.140625" bestFit="1" customWidth="1"/>
    <col min="22" max="22" width="26.42578125" bestFit="1" customWidth="1"/>
    <col min="24" max="24" width="13.140625" bestFit="1" customWidth="1"/>
    <col min="25" max="25" width="26.42578125" bestFit="1" customWidth="1"/>
    <col min="32" max="32" width="13.140625" bestFit="1" customWidth="1"/>
    <col min="33" max="33" width="24.28515625" bestFit="1" customWidth="1"/>
  </cols>
  <sheetData>
    <row r="2" spans="2:33" x14ac:dyDescent="0.25">
      <c r="B2" s="6" t="s">
        <v>1059</v>
      </c>
      <c r="C2" t="s">
        <v>1067</v>
      </c>
      <c r="F2" s="6" t="s">
        <v>1059</v>
      </c>
      <c r="G2" t="s">
        <v>1067</v>
      </c>
      <c r="J2" s="6" t="s">
        <v>1059</v>
      </c>
      <c r="K2" t="s">
        <v>1067</v>
      </c>
      <c r="N2" s="6" t="s">
        <v>1059</v>
      </c>
      <c r="O2" t="s">
        <v>1067</v>
      </c>
      <c r="R2" s="6" t="s">
        <v>1059</v>
      </c>
      <c r="S2" t="s">
        <v>1067</v>
      </c>
      <c r="U2" s="6" t="s">
        <v>1059</v>
      </c>
      <c r="V2" t="s">
        <v>1067</v>
      </c>
    </row>
    <row r="3" spans="2:33" x14ac:dyDescent="0.25">
      <c r="B3" s="7" t="s">
        <v>20</v>
      </c>
      <c r="C3" s="8">
        <v>521</v>
      </c>
      <c r="D3" s="8"/>
      <c r="F3" s="7" t="s">
        <v>21</v>
      </c>
      <c r="G3" s="8">
        <v>74</v>
      </c>
      <c r="H3" s="8"/>
      <c r="J3" s="7">
        <v>1</v>
      </c>
      <c r="K3" s="8">
        <v>241</v>
      </c>
      <c r="L3" s="8"/>
      <c r="N3" s="7" t="s">
        <v>16</v>
      </c>
      <c r="O3" s="8">
        <v>188</v>
      </c>
      <c r="P3" s="8"/>
      <c r="R3" s="7" t="s">
        <v>24</v>
      </c>
      <c r="S3" s="8">
        <v>64</v>
      </c>
      <c r="U3" s="7" t="s">
        <v>1075</v>
      </c>
      <c r="V3" s="8">
        <v>100</v>
      </c>
      <c r="AF3" s="6" t="s">
        <v>1059</v>
      </c>
      <c r="AG3" t="s">
        <v>1067</v>
      </c>
    </row>
    <row r="4" spans="2:33" x14ac:dyDescent="0.25">
      <c r="B4" s="7" t="s">
        <v>13</v>
      </c>
      <c r="C4" s="8">
        <v>479</v>
      </c>
      <c r="D4" s="8"/>
      <c r="F4" s="7" t="s">
        <v>37</v>
      </c>
      <c r="G4" s="8">
        <v>72</v>
      </c>
      <c r="H4" s="8"/>
      <c r="J4" s="7">
        <v>2</v>
      </c>
      <c r="K4" s="8">
        <v>244</v>
      </c>
      <c r="L4" s="8"/>
      <c r="N4" s="7" t="s">
        <v>25</v>
      </c>
      <c r="O4" s="8">
        <v>225</v>
      </c>
      <c r="P4" s="8"/>
      <c r="R4" s="7" t="s">
        <v>36</v>
      </c>
      <c r="S4" s="8">
        <v>72</v>
      </c>
      <c r="U4" s="7" t="s">
        <v>1076</v>
      </c>
      <c r="V4" s="8">
        <v>133</v>
      </c>
      <c r="AF4" s="7">
        <v>17</v>
      </c>
      <c r="AG4" s="8">
        <v>9</v>
      </c>
    </row>
    <row r="5" spans="2:33" x14ac:dyDescent="0.25">
      <c r="B5" s="7" t="s">
        <v>1060</v>
      </c>
      <c r="C5" s="8">
        <v>1000</v>
      </c>
      <c r="D5" s="8"/>
      <c r="F5" s="7" t="s">
        <v>15</v>
      </c>
      <c r="G5" s="8">
        <v>675</v>
      </c>
      <c r="H5" s="8"/>
      <c r="J5" s="7">
        <v>3</v>
      </c>
      <c r="K5" s="8">
        <v>251</v>
      </c>
      <c r="L5" s="8"/>
      <c r="N5" s="7" t="s">
        <v>22</v>
      </c>
      <c r="O5" s="8">
        <v>183</v>
      </c>
      <c r="P5" s="8"/>
      <c r="R5" s="7" t="s">
        <v>31</v>
      </c>
      <c r="S5" s="8">
        <v>61</v>
      </c>
      <c r="U5" s="7" t="s">
        <v>1077</v>
      </c>
      <c r="V5" s="8">
        <v>122</v>
      </c>
      <c r="AF5" s="7">
        <v>18</v>
      </c>
      <c r="AG5" s="8">
        <v>116</v>
      </c>
    </row>
    <row r="6" spans="2:33" x14ac:dyDescent="0.25">
      <c r="F6" s="7" t="s">
        <v>32</v>
      </c>
      <c r="G6" s="8">
        <v>61</v>
      </c>
      <c r="H6" s="8"/>
      <c r="J6" s="7">
        <v>4</v>
      </c>
      <c r="K6" s="8">
        <v>264</v>
      </c>
      <c r="L6" s="8"/>
      <c r="N6" s="7" t="s">
        <v>29</v>
      </c>
      <c r="O6" s="8">
        <v>189</v>
      </c>
      <c r="P6" s="8"/>
      <c r="R6" s="7" t="s">
        <v>21</v>
      </c>
      <c r="S6" s="8">
        <v>74</v>
      </c>
      <c r="U6" s="7" t="s">
        <v>1078</v>
      </c>
      <c r="V6" s="8">
        <v>104</v>
      </c>
      <c r="AF6" s="7">
        <v>19</v>
      </c>
      <c r="AG6" s="8">
        <v>106</v>
      </c>
    </row>
    <row r="7" spans="2:33" x14ac:dyDescent="0.25">
      <c r="F7" s="7" t="s">
        <v>70</v>
      </c>
      <c r="G7" s="8">
        <v>65</v>
      </c>
      <c r="H7" s="8"/>
      <c r="J7" s="7" t="s">
        <v>1060</v>
      </c>
      <c r="K7" s="8">
        <v>1000</v>
      </c>
      <c r="L7" s="8"/>
      <c r="N7" s="7" t="s">
        <v>34</v>
      </c>
      <c r="O7" s="8">
        <v>215</v>
      </c>
      <c r="P7" s="8"/>
      <c r="R7" s="7" t="s">
        <v>69</v>
      </c>
      <c r="S7" s="8">
        <v>65</v>
      </c>
      <c r="U7" s="7" t="s">
        <v>1079</v>
      </c>
      <c r="V7" s="8">
        <v>111</v>
      </c>
      <c r="AF7" s="7">
        <v>20</v>
      </c>
      <c r="AG7" s="8">
        <v>121</v>
      </c>
    </row>
    <row r="8" spans="2:33" x14ac:dyDescent="0.25">
      <c r="F8" s="7" t="s">
        <v>49</v>
      </c>
      <c r="G8" s="8">
        <v>53</v>
      </c>
      <c r="H8" s="8"/>
      <c r="N8" s="7" t="s">
        <v>1060</v>
      </c>
      <c r="O8" s="8">
        <v>1000</v>
      </c>
      <c r="P8" s="8"/>
      <c r="R8" s="7" t="s">
        <v>46</v>
      </c>
      <c r="S8" s="8">
        <v>56</v>
      </c>
      <c r="U8" s="7" t="s">
        <v>1080</v>
      </c>
      <c r="V8" s="8">
        <v>89</v>
      </c>
      <c r="AF8" s="7">
        <v>21</v>
      </c>
      <c r="AG8" s="8">
        <v>88</v>
      </c>
    </row>
    <row r="9" spans="2:33" x14ac:dyDescent="0.25">
      <c r="F9" s="7" t="s">
        <v>1060</v>
      </c>
      <c r="G9" s="8">
        <v>1000</v>
      </c>
      <c r="H9" s="8"/>
      <c r="R9" s="7" t="s">
        <v>48</v>
      </c>
      <c r="S9" s="8">
        <v>53</v>
      </c>
      <c r="U9" s="7" t="s">
        <v>1081</v>
      </c>
      <c r="V9" s="8">
        <v>119</v>
      </c>
      <c r="AF9" s="7">
        <v>22</v>
      </c>
      <c r="AG9" s="8">
        <v>111</v>
      </c>
    </row>
    <row r="10" spans="2:33" x14ac:dyDescent="0.25">
      <c r="R10" s="7" t="s">
        <v>53</v>
      </c>
      <c r="S10" s="8">
        <v>74</v>
      </c>
      <c r="U10" s="7" t="s">
        <v>1082</v>
      </c>
      <c r="V10" s="8">
        <v>110</v>
      </c>
      <c r="AF10" s="7">
        <v>23</v>
      </c>
      <c r="AG10" s="8">
        <v>112</v>
      </c>
    </row>
    <row r="11" spans="2:33" x14ac:dyDescent="0.25">
      <c r="R11" s="7" t="s">
        <v>40</v>
      </c>
      <c r="S11" s="8">
        <v>65</v>
      </c>
      <c r="U11" s="7" t="s">
        <v>1083</v>
      </c>
      <c r="V11" s="8">
        <v>112</v>
      </c>
      <c r="AF11" s="7">
        <v>24</v>
      </c>
      <c r="AG11" s="8">
        <v>120</v>
      </c>
    </row>
    <row r="12" spans="2:33" x14ac:dyDescent="0.25">
      <c r="R12" s="7" t="s">
        <v>62</v>
      </c>
      <c r="S12" s="8">
        <v>80</v>
      </c>
      <c r="U12" s="7" t="s">
        <v>1060</v>
      </c>
      <c r="V12" s="8">
        <v>1000</v>
      </c>
      <c r="AF12" s="7">
        <v>25</v>
      </c>
      <c r="AG12" s="8">
        <v>127</v>
      </c>
    </row>
    <row r="13" spans="2:33" x14ac:dyDescent="0.25">
      <c r="R13" s="7" t="s">
        <v>14</v>
      </c>
      <c r="S13" s="8">
        <v>69</v>
      </c>
      <c r="AF13" s="7">
        <v>26</v>
      </c>
      <c r="AG13" s="8">
        <v>90</v>
      </c>
    </row>
    <row r="14" spans="2:33" x14ac:dyDescent="0.25">
      <c r="R14" s="7" t="s">
        <v>27</v>
      </c>
      <c r="S14" s="8">
        <v>68</v>
      </c>
      <c r="AF14" s="7" t="s">
        <v>1060</v>
      </c>
      <c r="AG14" s="8">
        <v>1000</v>
      </c>
    </row>
    <row r="15" spans="2:33" x14ac:dyDescent="0.25">
      <c r="R15" s="7" t="s">
        <v>42</v>
      </c>
      <c r="S15" s="8">
        <v>69</v>
      </c>
    </row>
    <row r="16" spans="2:33" x14ac:dyDescent="0.25">
      <c r="R16" s="7" t="s">
        <v>73</v>
      </c>
      <c r="S16" s="8">
        <v>65</v>
      </c>
    </row>
    <row r="17" spans="2:23" x14ac:dyDescent="0.25"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7" t="s">
        <v>18</v>
      </c>
      <c r="S17" s="8">
        <v>65</v>
      </c>
    </row>
    <row r="18" spans="2:23" x14ac:dyDescent="0.25">
      <c r="R18" s="7" t="s">
        <v>1060</v>
      </c>
      <c r="S18" s="8">
        <v>1000</v>
      </c>
    </row>
    <row r="24" spans="2:23" x14ac:dyDescent="0.25">
      <c r="B24" s="6" t="s">
        <v>1059</v>
      </c>
      <c r="C24" t="s">
        <v>1062</v>
      </c>
      <c r="F24" s="6" t="s">
        <v>1059</v>
      </c>
      <c r="G24" t="s">
        <v>1062</v>
      </c>
      <c r="I24" s="6"/>
      <c r="J24" s="6" t="s">
        <v>1059</v>
      </c>
      <c r="K24" t="s">
        <v>1062</v>
      </c>
      <c r="M24" s="6"/>
      <c r="N24" s="6" t="s">
        <v>1059</v>
      </c>
      <c r="O24" t="s">
        <v>1062</v>
      </c>
      <c r="Q24" s="6"/>
      <c r="R24" s="6" t="s">
        <v>1059</v>
      </c>
      <c r="S24" t="s">
        <v>1062</v>
      </c>
      <c r="U24" s="6" t="s">
        <v>1059</v>
      </c>
      <c r="V24" t="s">
        <v>1062</v>
      </c>
      <c r="W24" s="6"/>
    </row>
    <row r="25" spans="2:23" x14ac:dyDescent="0.25">
      <c r="B25" s="7" t="s">
        <v>20</v>
      </c>
      <c r="C25" s="8">
        <v>417.71209213051822</v>
      </c>
      <c r="D25" s="8"/>
      <c r="F25" s="7" t="s">
        <v>21</v>
      </c>
      <c r="G25" s="8">
        <v>425.16216216216219</v>
      </c>
      <c r="H25" s="8"/>
      <c r="J25" s="7" t="s">
        <v>16</v>
      </c>
      <c r="K25" s="8">
        <v>413.31382978723406</v>
      </c>
      <c r="L25" s="8"/>
      <c r="N25" s="7">
        <v>1</v>
      </c>
      <c r="O25" s="8">
        <v>417.58091286307052</v>
      </c>
      <c r="P25" s="8"/>
      <c r="R25" s="7">
        <v>2023</v>
      </c>
      <c r="S25" s="8">
        <v>425.0474308300395</v>
      </c>
      <c r="U25" s="7" t="s">
        <v>1075</v>
      </c>
      <c r="V25" s="8">
        <v>428.75</v>
      </c>
    </row>
    <row r="26" spans="2:23" x14ac:dyDescent="0.25">
      <c r="B26" s="7" t="s">
        <v>13</v>
      </c>
      <c r="C26" s="8">
        <v>422.75365344467639</v>
      </c>
      <c r="D26" s="8"/>
      <c r="F26" s="7" t="s">
        <v>37</v>
      </c>
      <c r="G26" s="8">
        <v>424.38888888888891</v>
      </c>
      <c r="H26" s="8"/>
      <c r="J26" s="7" t="s">
        <v>25</v>
      </c>
      <c r="K26" s="8">
        <v>425.80444444444447</v>
      </c>
      <c r="L26" s="8"/>
      <c r="N26" s="7">
        <v>2</v>
      </c>
      <c r="O26" s="8">
        <v>426.43852459016392</v>
      </c>
      <c r="P26" s="8"/>
      <c r="R26" s="7">
        <v>2024</v>
      </c>
      <c r="S26" s="8">
        <v>423.51020408163265</v>
      </c>
      <c r="U26" s="7" t="s">
        <v>1076</v>
      </c>
      <c r="V26" s="8">
        <v>416.78195488721803</v>
      </c>
    </row>
    <row r="27" spans="2:23" x14ac:dyDescent="0.25">
      <c r="B27" s="7" t="s">
        <v>1060</v>
      </c>
      <c r="C27" s="8">
        <v>420.12700000000001</v>
      </c>
      <c r="D27" s="8"/>
      <c r="F27" s="7" t="s">
        <v>15</v>
      </c>
      <c r="G27" s="8">
        <v>418.17777777777781</v>
      </c>
      <c r="H27" s="8"/>
      <c r="J27" s="7" t="s">
        <v>22</v>
      </c>
      <c r="K27" s="8">
        <v>421.17486338797812</v>
      </c>
      <c r="L27" s="8"/>
      <c r="N27" s="7">
        <v>3</v>
      </c>
      <c r="O27" s="8">
        <v>411.62151394422312</v>
      </c>
      <c r="P27" s="8"/>
      <c r="R27" s="7">
        <v>2025</v>
      </c>
      <c r="S27" s="8">
        <v>411.38842975206609</v>
      </c>
      <c r="U27" s="7" t="s">
        <v>1077</v>
      </c>
      <c r="V27" s="8">
        <v>412.96721311475409</v>
      </c>
    </row>
    <row r="28" spans="2:23" x14ac:dyDescent="0.25">
      <c r="F28" s="7" t="s">
        <v>32</v>
      </c>
      <c r="G28" s="8">
        <v>422.50819672131149</v>
      </c>
      <c r="H28" s="8"/>
      <c r="J28" s="7" t="s">
        <v>29</v>
      </c>
      <c r="K28" s="8">
        <v>431.80423280423281</v>
      </c>
      <c r="L28" s="8"/>
      <c r="N28" s="7">
        <v>4</v>
      </c>
      <c r="O28" s="8">
        <v>424.70454545454544</v>
      </c>
      <c r="P28" s="8"/>
      <c r="R28" s="7">
        <v>2026</v>
      </c>
      <c r="S28" s="8">
        <v>420.28461538461539</v>
      </c>
      <c r="U28" s="7" t="s">
        <v>1078</v>
      </c>
      <c r="V28" s="8">
        <v>424.49038461538464</v>
      </c>
    </row>
    <row r="29" spans="2:23" x14ac:dyDescent="0.25">
      <c r="F29" s="7" t="s">
        <v>70</v>
      </c>
      <c r="G29" s="8">
        <v>430.49230769230769</v>
      </c>
      <c r="H29" s="8"/>
      <c r="J29" s="7" t="s">
        <v>34</v>
      </c>
      <c r="K29" s="8">
        <v>408.98604651162793</v>
      </c>
      <c r="L29" s="8"/>
      <c r="N29" s="7" t="s">
        <v>1060</v>
      </c>
      <c r="O29" s="8">
        <v>420.12700000000001</v>
      </c>
      <c r="P29" s="8"/>
      <c r="R29" s="7" t="s">
        <v>1060</v>
      </c>
      <c r="S29" s="8">
        <v>420.12700000000001</v>
      </c>
      <c r="U29" s="7" t="s">
        <v>1079</v>
      </c>
      <c r="V29" s="8">
        <v>418.72972972972974</v>
      </c>
    </row>
    <row r="30" spans="2:23" x14ac:dyDescent="0.25">
      <c r="F30" s="7" t="s">
        <v>49</v>
      </c>
      <c r="G30" s="8">
        <v>416.67924528301887</v>
      </c>
      <c r="H30" s="8"/>
      <c r="J30" s="7" t="s">
        <v>1060</v>
      </c>
      <c r="K30" s="8">
        <v>420.12700000000001</v>
      </c>
      <c r="L30" s="8"/>
      <c r="U30" s="7" t="s">
        <v>1080</v>
      </c>
      <c r="V30" s="8">
        <v>420.65168539325845</v>
      </c>
    </row>
    <row r="31" spans="2:23" x14ac:dyDescent="0.25">
      <c r="F31" s="7" t="s">
        <v>1060</v>
      </c>
      <c r="G31" s="8">
        <v>420.12700000000001</v>
      </c>
      <c r="H31" s="8"/>
      <c r="U31" s="7" t="s">
        <v>1081</v>
      </c>
      <c r="V31" s="8">
        <v>414.47899159663865</v>
      </c>
    </row>
    <row r="32" spans="2:23" x14ac:dyDescent="0.25">
      <c r="U32" s="7" t="s">
        <v>1082</v>
      </c>
      <c r="V32" s="8">
        <v>415.3</v>
      </c>
    </row>
    <row r="33" spans="21:22" x14ac:dyDescent="0.25">
      <c r="U33" s="7" t="s">
        <v>1083</v>
      </c>
      <c r="V33" s="8">
        <v>431.85714285714283</v>
      </c>
    </row>
    <row r="34" spans="21:22" x14ac:dyDescent="0.25">
      <c r="U34" s="7" t="s">
        <v>1060</v>
      </c>
      <c r="V34" s="8">
        <v>420.12700000000001</v>
      </c>
    </row>
  </sheetData>
  <pageMargins left="0.7" right="0.7" top="0.75" bottom="0.75" header="0.3" footer="0.3"/>
  <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DB5B-33F9-447B-9B97-9B5868C4D070}">
  <dimension ref="A1:G16"/>
  <sheetViews>
    <sheetView workbookViewId="0">
      <selection activeCell="N10" sqref="N10"/>
    </sheetView>
  </sheetViews>
  <sheetFormatPr defaultRowHeight="15" x14ac:dyDescent="0.25"/>
  <cols>
    <col min="2" max="2" width="11.5703125" bestFit="1" customWidth="1"/>
    <col min="3" max="3" width="12" bestFit="1" customWidth="1"/>
    <col min="4" max="4" width="11" customWidth="1"/>
    <col min="5" max="5" width="14.140625" customWidth="1"/>
    <col min="6" max="6" width="12.85546875" customWidth="1"/>
    <col min="7" max="7" width="14.28515625" bestFit="1" customWidth="1"/>
  </cols>
  <sheetData>
    <row r="1" spans="1:7" x14ac:dyDescent="0.25">
      <c r="A1" s="10" t="s">
        <v>1</v>
      </c>
      <c r="B1" s="10" t="s">
        <v>4</v>
      </c>
      <c r="C1" s="10" t="s">
        <v>5</v>
      </c>
      <c r="D1" s="10" t="s">
        <v>6</v>
      </c>
      <c r="E1" s="10" t="s">
        <v>3</v>
      </c>
      <c r="F1" s="10" t="s">
        <v>11</v>
      </c>
      <c r="G1" s="10" t="s">
        <v>1074</v>
      </c>
    </row>
    <row r="2" spans="1:7" x14ac:dyDescent="0.25">
      <c r="A2" t="s">
        <v>13</v>
      </c>
      <c r="B2" t="s">
        <v>14</v>
      </c>
      <c r="C2" t="s">
        <v>15</v>
      </c>
      <c r="D2" t="s">
        <v>16</v>
      </c>
      <c r="E2">
        <v>1</v>
      </c>
      <c r="F2">
        <v>2023</v>
      </c>
      <c r="G2">
        <v>17</v>
      </c>
    </row>
    <row r="3" spans="1:7" x14ac:dyDescent="0.25">
      <c r="A3" t="s">
        <v>20</v>
      </c>
      <c r="B3" t="s">
        <v>18</v>
      </c>
      <c r="C3" t="s">
        <v>21</v>
      </c>
      <c r="D3" t="s">
        <v>22</v>
      </c>
      <c r="E3">
        <v>4</v>
      </c>
      <c r="F3">
        <v>2024</v>
      </c>
      <c r="G3">
        <v>18</v>
      </c>
    </row>
    <row r="4" spans="1:7" x14ac:dyDescent="0.25">
      <c r="B4" t="s">
        <v>21</v>
      </c>
      <c r="C4" t="s">
        <v>32</v>
      </c>
      <c r="D4" t="s">
        <v>25</v>
      </c>
      <c r="E4">
        <v>2</v>
      </c>
      <c r="F4">
        <v>2026</v>
      </c>
      <c r="G4">
        <v>19</v>
      </c>
    </row>
    <row r="5" spans="1:7" x14ac:dyDescent="0.25">
      <c r="B5" t="s">
        <v>24</v>
      </c>
      <c r="C5" t="s">
        <v>37</v>
      </c>
      <c r="D5" t="s">
        <v>29</v>
      </c>
      <c r="E5">
        <v>3</v>
      </c>
      <c r="F5">
        <v>2025</v>
      </c>
      <c r="G5">
        <v>20</v>
      </c>
    </row>
    <row r="6" spans="1:7" x14ac:dyDescent="0.25">
      <c r="B6" t="s">
        <v>27</v>
      </c>
      <c r="C6" t="s">
        <v>49</v>
      </c>
      <c r="D6" t="s">
        <v>34</v>
      </c>
      <c r="G6">
        <v>21</v>
      </c>
    </row>
    <row r="7" spans="1:7" x14ac:dyDescent="0.25">
      <c r="B7" t="s">
        <v>31</v>
      </c>
      <c r="C7" t="s">
        <v>70</v>
      </c>
      <c r="G7">
        <v>22</v>
      </c>
    </row>
    <row r="8" spans="1:7" x14ac:dyDescent="0.25">
      <c r="B8" t="s">
        <v>36</v>
      </c>
      <c r="G8">
        <v>23</v>
      </c>
    </row>
    <row r="9" spans="1:7" x14ac:dyDescent="0.25">
      <c r="B9" t="s">
        <v>40</v>
      </c>
      <c r="G9">
        <v>24</v>
      </c>
    </row>
    <row r="10" spans="1:7" x14ac:dyDescent="0.25">
      <c r="B10" t="s">
        <v>42</v>
      </c>
      <c r="G10">
        <v>25</v>
      </c>
    </row>
    <row r="11" spans="1:7" x14ac:dyDescent="0.25">
      <c r="B11" t="s">
        <v>46</v>
      </c>
      <c r="G11">
        <v>26</v>
      </c>
    </row>
    <row r="12" spans="1:7" x14ac:dyDescent="0.25">
      <c r="B12" t="s">
        <v>48</v>
      </c>
    </row>
    <row r="13" spans="1:7" x14ac:dyDescent="0.25">
      <c r="B13" t="s">
        <v>53</v>
      </c>
    </row>
    <row r="14" spans="1:7" x14ac:dyDescent="0.25">
      <c r="B14" t="s">
        <v>62</v>
      </c>
    </row>
    <row r="15" spans="1:7" x14ac:dyDescent="0.25">
      <c r="B15" t="s">
        <v>69</v>
      </c>
    </row>
    <row r="16" spans="1:7" x14ac:dyDescent="0.25">
      <c r="B16" t="s">
        <v>73</v>
      </c>
    </row>
  </sheetData>
  <sortState ref="G2:G11">
    <sortCondition ref="G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neet_exam_dataset_updated</vt:lpstr>
      <vt:lpstr>Descriptive Analysis</vt:lpstr>
      <vt:lpstr>Pivot Table</vt:lpstr>
      <vt:lpstr>Analysis</vt:lpstr>
      <vt:lpstr>Dash-Board </vt:lpstr>
      <vt:lpstr>Rough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2026-05-13T12:11:32Z</dcterms:created>
  <dcterms:modified xsi:type="dcterms:W3CDTF">2026-05-17T12:37:48Z</dcterms:modified>
</cp:coreProperties>
</file>