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.D ZAKI\"/>
    </mc:Choice>
  </mc:AlternateContent>
  <xr:revisionPtr revIDLastSave="0" documentId="13_ncr:1_{686AD087-83B9-4175-AC51-62BAFBF6CF61}" xr6:coauthVersionLast="36" xr6:coauthVersionMax="36" xr10:uidLastSave="{00000000-0000-0000-0000-000000000000}"/>
  <bookViews>
    <workbookView xWindow="0" yWindow="0" windowWidth="20490" windowHeight="7005" xr2:uid="{01A7706D-DEF4-4A01-9BAB-A5C2388E70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" l="1"/>
  <c r="H47" i="1"/>
  <c r="H48" i="1"/>
  <c r="H49" i="1"/>
  <c r="H50" i="1"/>
  <c r="H51" i="1"/>
  <c r="H34" i="1"/>
  <c r="H35" i="1"/>
  <c r="H36" i="1"/>
  <c r="H37" i="1"/>
  <c r="H38" i="1"/>
  <c r="H39" i="1"/>
  <c r="H40" i="1"/>
  <c r="H41" i="1"/>
  <c r="H42" i="1"/>
  <c r="H43" i="1"/>
  <c r="H44" i="1"/>
  <c r="H45" i="1"/>
  <c r="H27" i="1"/>
  <c r="H28" i="1"/>
  <c r="H29" i="1"/>
  <c r="H30" i="1"/>
  <c r="H31" i="1"/>
  <c r="H32" i="1"/>
  <c r="H33" i="1"/>
  <c r="H3" i="1"/>
  <c r="H4" i="1"/>
  <c r="H2" i="1"/>
  <c r="H62" i="1" l="1"/>
  <c r="M15" i="1"/>
  <c r="I64" i="1"/>
  <c r="M17" i="1"/>
  <c r="L13" i="1"/>
  <c r="L11" i="1" s="1"/>
  <c r="L12" i="1"/>
  <c r="M23" i="1"/>
  <c r="I70" i="1"/>
  <c r="H66" i="1"/>
  <c r="O75" i="1"/>
  <c r="H64" i="1"/>
  <c r="K59" i="1" l="1"/>
  <c r="J59" i="1"/>
  <c r="I59" i="1"/>
  <c r="I58" i="1"/>
  <c r="H26" i="1"/>
  <c r="H20" i="1"/>
  <c r="H21" i="1"/>
  <c r="H22" i="1"/>
  <c r="H23" i="1"/>
  <c r="H24" i="1"/>
  <c r="H25" i="1"/>
  <c r="H15" i="1"/>
  <c r="H16" i="1"/>
  <c r="H17" i="1"/>
  <c r="H18" i="1"/>
  <c r="H19" i="1"/>
  <c r="H13" i="1"/>
  <c r="H14" i="1"/>
  <c r="H11" i="1"/>
  <c r="H12" i="1"/>
  <c r="H10" i="1"/>
  <c r="H9" i="1"/>
  <c r="H8" i="1"/>
  <c r="H7" i="1"/>
  <c r="H6" i="1"/>
  <c r="H5" i="1"/>
  <c r="N6" i="1"/>
  <c r="N5" i="1"/>
  <c r="J6" i="1" l="1"/>
  <c r="K6" i="1"/>
  <c r="J7" i="1"/>
  <c r="K7" i="1"/>
  <c r="J9" i="1"/>
  <c r="K9" i="1"/>
  <c r="J8" i="1"/>
  <c r="K8" i="1"/>
  <c r="J10" i="1"/>
  <c r="K10" i="1"/>
  <c r="J13" i="1"/>
  <c r="K13" i="1"/>
  <c r="I6" i="1"/>
  <c r="I7" i="1"/>
  <c r="I8" i="1"/>
  <c r="I9" i="1"/>
  <c r="I10" i="1"/>
  <c r="I11" i="1"/>
  <c r="I12" i="1"/>
  <c r="I13" i="1"/>
  <c r="I14" i="1"/>
  <c r="I15" i="1"/>
  <c r="J5" i="1"/>
  <c r="K5" i="1"/>
  <c r="L5" i="1"/>
  <c r="I5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</calcChain>
</file>

<file path=xl/sharedStrings.xml><?xml version="1.0" encoding="utf-8"?>
<sst xmlns="http://schemas.openxmlformats.org/spreadsheetml/2006/main" count="288" uniqueCount="90">
  <si>
    <t>The Alchemist</t>
  </si>
  <si>
    <t>Paulo Coelho</t>
  </si>
  <si>
    <t>Rich Dad Poor Dad</t>
  </si>
  <si>
    <t>Robert Kiyosaki</t>
  </si>
  <si>
    <t>Think and Grow Rich</t>
  </si>
  <si>
    <t>Napoleon Hill</t>
  </si>
  <si>
    <t>Atomic Habits</t>
  </si>
  <si>
    <t>James Clear</t>
  </si>
  <si>
    <t>Ikigai</t>
  </si>
  <si>
    <t>Hector Garcia</t>
  </si>
  <si>
    <t>Deep Work</t>
  </si>
  <si>
    <t>Cal Newport</t>
  </si>
  <si>
    <t>Sr. No.</t>
  </si>
  <si>
    <t>Date</t>
  </si>
  <si>
    <t>Book Name</t>
  </si>
  <si>
    <t>Author Name</t>
  </si>
  <si>
    <t>Stock</t>
  </si>
  <si>
    <t>Sold</t>
  </si>
  <si>
    <t>Price</t>
  </si>
  <si>
    <t>ID</t>
  </si>
  <si>
    <t>Employee Name</t>
  </si>
  <si>
    <t>Department</t>
  </si>
  <si>
    <t>Region</t>
  </si>
  <si>
    <t>Liam Smith</t>
  </si>
  <si>
    <t>Sales</t>
  </si>
  <si>
    <t>North</t>
  </si>
  <si>
    <t>Noah Johnson</t>
  </si>
  <si>
    <t>IT</t>
  </si>
  <si>
    <t>West</t>
  </si>
  <si>
    <t>Oliver Brown</t>
  </si>
  <si>
    <t>Marketing</t>
  </si>
  <si>
    <t>South</t>
  </si>
  <si>
    <t>Elijah Jones</t>
  </si>
  <si>
    <t>Finance</t>
  </si>
  <si>
    <t>East</t>
  </si>
  <si>
    <t>James Garcia</t>
  </si>
  <si>
    <t>HR</t>
  </si>
  <si>
    <t>William Miller</t>
  </si>
  <si>
    <t>Benjamin Davis</t>
  </si>
  <si>
    <t>Lucas Rodriguez</t>
  </si>
  <si>
    <t>Henry Martinez</t>
  </si>
  <si>
    <t>Alexander Hernandez</t>
  </si>
  <si>
    <t>Mia Lopez</t>
  </si>
  <si>
    <t>Amelia Gonzalez</t>
  </si>
  <si>
    <t>Harper Wilson</t>
  </si>
  <si>
    <t>Evelyn Anderson</t>
  </si>
  <si>
    <t>Abigail Thomas</t>
  </si>
  <si>
    <t>Emily Taylor</t>
  </si>
  <si>
    <t>Elizabeth Moore</t>
  </si>
  <si>
    <t>Sofia Jackson</t>
  </si>
  <si>
    <t>Avery Martin</t>
  </si>
  <si>
    <t>Ella Lee</t>
  </si>
  <si>
    <t>Scarlett Perez</t>
  </si>
  <si>
    <t>Victoria Thompson</t>
  </si>
  <si>
    <t>Madison White</t>
  </si>
  <si>
    <t>Luna Harris</t>
  </si>
  <si>
    <t>Grace Sanchez</t>
  </si>
  <si>
    <t>Chloe Clark</t>
  </si>
  <si>
    <t>Penelope Ramirez</t>
  </si>
  <si>
    <t>Layla Lewis</t>
  </si>
  <si>
    <t>Riley Robinson</t>
  </si>
  <si>
    <t>Zoey Walker</t>
  </si>
  <si>
    <t>Nora Young</t>
  </si>
  <si>
    <t>Lily Allen</t>
  </si>
  <si>
    <t>Eleanor King</t>
  </si>
  <si>
    <t>Hannah Wright</t>
  </si>
  <si>
    <t>Lillian Scott</t>
  </si>
  <si>
    <t>Addison Torres</t>
  </si>
  <si>
    <t>Aubrey Nguyen</t>
  </si>
  <si>
    <t>Ellie Hill</t>
  </si>
  <si>
    <t>Stella Flores</t>
  </si>
  <si>
    <t>Natalie Green</t>
  </si>
  <si>
    <t>Leah Adams</t>
  </si>
  <si>
    <t>Hazel Nelson</t>
  </si>
  <si>
    <t>Violet Baker</t>
  </si>
  <si>
    <t>Aurora Hall</t>
  </si>
  <si>
    <t>Savannah Rivera</t>
  </si>
  <si>
    <t>Audrey Campbell</t>
  </si>
  <si>
    <t>Brooklyn Mitchell</t>
  </si>
  <si>
    <t>Bella Carter</t>
  </si>
  <si>
    <t>Claire Roberts</t>
  </si>
  <si>
    <t>Skylar Gomez</t>
  </si>
  <si>
    <t>Name</t>
  </si>
  <si>
    <t>City</t>
  </si>
  <si>
    <t>Ali</t>
  </si>
  <si>
    <t>Mumbai</t>
  </si>
  <si>
    <t>Sara</t>
  </si>
  <si>
    <t>Pune</t>
  </si>
  <si>
    <t>John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</si>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</sst>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96C8-0ABC-44F0-8924-33E3E84391AB}">
  <dimension ref="A1:Q107"/>
  <sheetViews>
    <sheetView tabSelected="1" topLeftCell="A49" workbookViewId="0">
      <selection activeCell="G58" sqref="G58"/>
    </sheetView>
  </sheetViews>
  <sheetFormatPr defaultRowHeight="15" x14ac:dyDescent="0.25"/>
  <cols>
    <col min="1" max="1" width="7.5703125" bestFit="1" customWidth="1"/>
    <col min="2" max="2" width="10.7109375" bestFit="1" customWidth="1"/>
    <col min="3" max="3" width="19.140625" bestFit="1" customWidth="1"/>
    <col min="4" max="4" width="17.42578125" bestFit="1" customWidth="1"/>
    <col min="5" max="5" width="12.85546875" bestFit="1" customWidth="1"/>
    <col min="6" max="6" width="8.28515625" bestFit="1" customWidth="1"/>
    <col min="8" max="8" width="14.7109375" bestFit="1" customWidth="1"/>
    <col min="9" max="9" width="14.85546875" bestFit="1" customWidth="1"/>
  </cols>
  <sheetData>
    <row r="1" spans="1:17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5"/>
      <c r="I1" s="5"/>
      <c r="J1" s="5"/>
      <c r="K1" s="5"/>
      <c r="L1" s="5"/>
    </row>
    <row r="2" spans="1:17" x14ac:dyDescent="0.25">
      <c r="A2" s="1">
        <v>1</v>
      </c>
      <c r="B2" s="8">
        <v>46023</v>
      </c>
      <c r="C2" s="1" t="s">
        <v>0</v>
      </c>
      <c r="D2" s="1" t="s">
        <v>1</v>
      </c>
      <c r="E2" s="1">
        <v>50</v>
      </c>
      <c r="F2" s="1">
        <v>10</v>
      </c>
      <c r="G2" s="1">
        <v>300</v>
      </c>
      <c r="H2" s="5" t="str">
        <f>IF(G2&gt;=300,"A",IF(G2&gt;=250,"B","C"))</f>
        <v>A</v>
      </c>
      <c r="I2" s="5"/>
      <c r="J2" s="5"/>
      <c r="K2" s="5"/>
      <c r="L2" s="5"/>
    </row>
    <row r="3" spans="1:17" x14ac:dyDescent="0.25">
      <c r="A3" s="1">
        <v>2</v>
      </c>
      <c r="B3" s="8">
        <v>46024</v>
      </c>
      <c r="C3" s="1" t="s">
        <v>2</v>
      </c>
      <c r="D3" s="1" t="s">
        <v>3</v>
      </c>
      <c r="E3" s="1">
        <v>40</v>
      </c>
      <c r="F3" s="1">
        <v>8</v>
      </c>
      <c r="G3" s="1">
        <v>350</v>
      </c>
      <c r="H3" s="5" t="str">
        <f t="shared" ref="H3:H4" si="0">IF(G3&gt;=300,"A",IF(G3&gt;=250,"B","C"))</f>
        <v>A</v>
      </c>
      <c r="I3" s="5"/>
      <c r="J3" s="5"/>
      <c r="K3" s="5"/>
      <c r="L3" s="5"/>
    </row>
    <row r="4" spans="1:17" x14ac:dyDescent="0.25">
      <c r="A4" s="1">
        <v>3</v>
      </c>
      <c r="B4" s="8">
        <v>46025</v>
      </c>
      <c r="C4" s="1" t="s">
        <v>0</v>
      </c>
      <c r="D4" s="1" t="s">
        <v>1</v>
      </c>
      <c r="E4" s="1">
        <v>45</v>
      </c>
      <c r="F4" s="1">
        <v>12</v>
      </c>
      <c r="G4" s="1">
        <v>300</v>
      </c>
      <c r="H4" s="5" t="str">
        <f t="shared" si="0"/>
        <v>A</v>
      </c>
      <c r="I4" s="5"/>
      <c r="J4" s="5"/>
      <c r="K4" s="5"/>
      <c r="L4" s="5"/>
    </row>
    <row r="5" spans="1:17" x14ac:dyDescent="0.25">
      <c r="A5" s="1">
        <v>4</v>
      </c>
      <c r="B5" s="8">
        <v>46026</v>
      </c>
      <c r="C5" s="1" t="s">
        <v>6</v>
      </c>
      <c r="D5" s="1" t="s">
        <v>7</v>
      </c>
      <c r="E5" s="1">
        <v>60</v>
      </c>
      <c r="F5" s="1">
        <v>15</v>
      </c>
      <c r="G5" s="1">
        <v>500</v>
      </c>
      <c r="H5" s="5" t="str">
        <f t="shared" ref="H5:H12" si="1">IF(G5&gt;=400,"A",IF(G5&gt;=300,"B","C"))</f>
        <v>A</v>
      </c>
      <c r="I5" s="5" t="str">
        <f>VLOOKUP($C$6,$C$2:$G$51,2,FALSE)</f>
        <v>Hector Garcia</v>
      </c>
      <c r="J5" s="5">
        <f>VLOOKUP($C$6,$C$2:$G$51,3,FALSE)</f>
        <v>55</v>
      </c>
      <c r="K5" s="5">
        <f>VLOOKUP($C$6,$C$2:$G$51,4,FALSE)</f>
        <v>9</v>
      </c>
      <c r="L5" s="5">
        <f>VLOOKUP($C$6,$C$2:$G$51,5,FALSE)</f>
        <v>400</v>
      </c>
      <c r="N5">
        <f>MATCH(C10,C2:C51,0)</f>
        <v>5</v>
      </c>
    </row>
    <row r="6" spans="1:17" x14ac:dyDescent="0.25">
      <c r="A6" s="1">
        <v>5</v>
      </c>
      <c r="B6" s="8">
        <v>46027</v>
      </c>
      <c r="C6" s="1" t="s">
        <v>8</v>
      </c>
      <c r="D6" s="1" t="s">
        <v>9</v>
      </c>
      <c r="E6" s="1">
        <v>55</v>
      </c>
      <c r="F6" s="1">
        <v>9</v>
      </c>
      <c r="G6" s="1">
        <v>400</v>
      </c>
      <c r="H6" s="5" t="str">
        <f t="shared" si="1"/>
        <v>A</v>
      </c>
      <c r="I6" s="5" t="str">
        <f t="shared" ref="I6:I50" si="2">VLOOKUP(C7,C3:G52,2,FALSE)</f>
        <v>Robert Kiyosaki</v>
      </c>
      <c r="J6" s="5">
        <f t="shared" ref="J6:J51" si="3">VLOOKUP(C6,C3:G52,3,0)</f>
        <v>55</v>
      </c>
      <c r="K6" s="5">
        <f t="shared" ref="K6:K51" si="4">VLOOKUP(C4,C3:G52,4,FALSE)</f>
        <v>12</v>
      </c>
      <c r="L6" s="5"/>
      <c r="N6">
        <f>VLOOKUP("Ikigai",C2:G51,3,0)</f>
        <v>55</v>
      </c>
    </row>
    <row r="7" spans="1:17" x14ac:dyDescent="0.25">
      <c r="A7" s="1">
        <v>6</v>
      </c>
      <c r="B7" s="8">
        <v>46028</v>
      </c>
      <c r="C7" s="1" t="s">
        <v>2</v>
      </c>
      <c r="D7" s="1" t="s">
        <v>3</v>
      </c>
      <c r="E7" s="1">
        <v>35</v>
      </c>
      <c r="F7" s="1">
        <v>7</v>
      </c>
      <c r="G7" s="1">
        <v>350</v>
      </c>
      <c r="H7" s="5" t="str">
        <f t="shared" si="1"/>
        <v>B</v>
      </c>
      <c r="I7" s="5" t="str">
        <f t="shared" si="2"/>
        <v>Napoleon Hill</v>
      </c>
      <c r="J7" s="5">
        <f t="shared" si="3"/>
        <v>35</v>
      </c>
      <c r="K7" s="5">
        <f t="shared" si="4"/>
        <v>15</v>
      </c>
      <c r="L7" s="5"/>
    </row>
    <row r="8" spans="1:17" x14ac:dyDescent="0.25">
      <c r="A8" s="1">
        <v>7</v>
      </c>
      <c r="B8" s="8">
        <v>46029</v>
      </c>
      <c r="C8" s="1" t="s">
        <v>4</v>
      </c>
      <c r="D8" s="1" t="s">
        <v>5</v>
      </c>
      <c r="E8" s="1">
        <v>50</v>
      </c>
      <c r="F8" s="1">
        <v>11</v>
      </c>
      <c r="G8" s="1">
        <v>320</v>
      </c>
      <c r="H8" s="5" t="str">
        <f t="shared" si="1"/>
        <v>B</v>
      </c>
      <c r="I8" s="5" t="str">
        <f t="shared" si="2"/>
        <v>James Clear</v>
      </c>
      <c r="J8" s="5">
        <f t="shared" si="3"/>
        <v>50</v>
      </c>
      <c r="K8" s="5">
        <f t="shared" si="4"/>
        <v>9</v>
      </c>
      <c r="L8" s="5"/>
      <c r="Q8" s="4" t="s">
        <v>0</v>
      </c>
    </row>
    <row r="9" spans="1:17" x14ac:dyDescent="0.25">
      <c r="A9" s="1">
        <v>8</v>
      </c>
      <c r="B9" s="8">
        <v>46030</v>
      </c>
      <c r="C9" s="1" t="s">
        <v>6</v>
      </c>
      <c r="D9" s="1" t="s">
        <v>7</v>
      </c>
      <c r="E9" s="1">
        <v>58</v>
      </c>
      <c r="F9" s="1">
        <v>14</v>
      </c>
      <c r="G9" s="1">
        <v>500</v>
      </c>
      <c r="H9" s="5" t="str">
        <f t="shared" si="1"/>
        <v>A</v>
      </c>
      <c r="I9" s="5" t="str">
        <f t="shared" si="2"/>
        <v>Hector Garcia</v>
      </c>
      <c r="J9" s="5">
        <f t="shared" si="3"/>
        <v>58</v>
      </c>
      <c r="K9" s="5">
        <f t="shared" si="4"/>
        <v>7</v>
      </c>
      <c r="L9" s="5"/>
      <c r="Q9" s="4" t="s">
        <v>2</v>
      </c>
    </row>
    <row r="10" spans="1:17" x14ac:dyDescent="0.25">
      <c r="A10" s="1">
        <v>9</v>
      </c>
      <c r="B10" s="8">
        <v>46031</v>
      </c>
      <c r="C10" s="1" t="s">
        <v>8</v>
      </c>
      <c r="D10" s="1" t="s">
        <v>9</v>
      </c>
      <c r="E10" s="1">
        <v>52</v>
      </c>
      <c r="F10" s="1">
        <v>10</v>
      </c>
      <c r="G10" s="1">
        <v>400</v>
      </c>
      <c r="H10" s="5" t="str">
        <f t="shared" si="1"/>
        <v>A</v>
      </c>
      <c r="I10" s="5" t="str">
        <f t="shared" si="2"/>
        <v>Paulo Coelho</v>
      </c>
      <c r="J10" s="5">
        <f t="shared" si="3"/>
        <v>52</v>
      </c>
      <c r="K10" s="5">
        <f t="shared" si="4"/>
        <v>11</v>
      </c>
      <c r="L10" s="5"/>
      <c r="Q10" s="4" t="s">
        <v>6</v>
      </c>
    </row>
    <row r="11" spans="1:17" x14ac:dyDescent="0.25">
      <c r="A11" s="1">
        <v>10</v>
      </c>
      <c r="B11" s="8">
        <v>46032</v>
      </c>
      <c r="C11" s="1" t="s">
        <v>0</v>
      </c>
      <c r="D11" s="1" t="s">
        <v>1</v>
      </c>
      <c r="E11" s="1">
        <v>42</v>
      </c>
      <c r="F11" s="1">
        <v>13</v>
      </c>
      <c r="G11" s="1">
        <v>300</v>
      </c>
      <c r="H11" s="5" t="str">
        <f t="shared" si="1"/>
        <v>B</v>
      </c>
      <c r="I11" s="5" t="str">
        <f t="shared" si="2"/>
        <v>Cal Newport</v>
      </c>
      <c r="J11" s="5">
        <f t="shared" si="3"/>
        <v>42</v>
      </c>
      <c r="K11" s="5">
        <f t="shared" si="4"/>
        <v>14</v>
      </c>
      <c r="L11" s="5" t="e">
        <f>L13</f>
        <v>#REF!</v>
      </c>
      <c r="Q11" s="4" t="s">
        <v>8</v>
      </c>
    </row>
    <row r="12" spans="1:17" x14ac:dyDescent="0.25">
      <c r="A12" s="1">
        <v>11</v>
      </c>
      <c r="B12" s="8">
        <v>46033</v>
      </c>
      <c r="C12" s="1" t="s">
        <v>10</v>
      </c>
      <c r="D12" s="1" t="s">
        <v>11</v>
      </c>
      <c r="E12" s="1">
        <v>30</v>
      </c>
      <c r="F12" s="1">
        <v>6</v>
      </c>
      <c r="G12" s="1">
        <v>450</v>
      </c>
      <c r="H12" s="5" t="str">
        <f t="shared" si="1"/>
        <v>A</v>
      </c>
      <c r="I12" s="5" t="str">
        <f t="shared" si="2"/>
        <v>Napoleon Hill</v>
      </c>
      <c r="J12" s="5">
        <f t="shared" si="3"/>
        <v>30</v>
      </c>
      <c r="K12" s="5">
        <f t="shared" si="4"/>
        <v>10</v>
      </c>
      <c r="L12" s="5">
        <f>ROW(K12)</f>
        <v>12</v>
      </c>
      <c r="Q12" s="4" t="s">
        <v>4</v>
      </c>
    </row>
    <row r="13" spans="1:17" x14ac:dyDescent="0.25">
      <c r="A13" s="1">
        <v>12</v>
      </c>
      <c r="B13" s="8">
        <v>46034</v>
      </c>
      <c r="C13" s="1" t="s">
        <v>4</v>
      </c>
      <c r="D13" s="1" t="s">
        <v>5</v>
      </c>
      <c r="E13" s="1">
        <v>48</v>
      </c>
      <c r="F13" s="1">
        <v>9</v>
      </c>
      <c r="G13" s="1">
        <v>320</v>
      </c>
      <c r="H13" s="5" t="str">
        <f t="shared" ref="H13:H51" si="5">IF(G13&gt;=400,"A",IF(G13&gt;=300,"B","C"))</f>
        <v>B</v>
      </c>
      <c r="I13" s="5" t="str">
        <f t="shared" si="2"/>
        <v>Robert Kiyosaki</v>
      </c>
      <c r="J13" s="5">
        <f t="shared" si="3"/>
        <v>48</v>
      </c>
      <c r="K13" s="5">
        <f t="shared" si="4"/>
        <v>13</v>
      </c>
      <c r="L13" s="5" t="e">
        <f>INDEX(C:C,4,3)</f>
        <v>#REF!</v>
      </c>
    </row>
    <row r="14" spans="1:17" x14ac:dyDescent="0.25">
      <c r="A14" s="1">
        <v>13</v>
      </c>
      <c r="B14" s="8">
        <v>46035</v>
      </c>
      <c r="C14" s="1" t="s">
        <v>2</v>
      </c>
      <c r="D14" s="1" t="s">
        <v>3</v>
      </c>
      <c r="E14" s="1">
        <v>33</v>
      </c>
      <c r="F14" s="1">
        <v>5</v>
      </c>
      <c r="G14" s="1">
        <v>350</v>
      </c>
      <c r="H14" s="5" t="str">
        <f t="shared" si="5"/>
        <v>B</v>
      </c>
      <c r="I14" s="5" t="str">
        <f t="shared" si="2"/>
        <v>James Clear</v>
      </c>
      <c r="J14" s="5">
        <f t="shared" si="3"/>
        <v>33</v>
      </c>
      <c r="K14" s="5">
        <f t="shared" si="4"/>
        <v>6</v>
      </c>
      <c r="L14" s="5"/>
    </row>
    <row r="15" spans="1:17" x14ac:dyDescent="0.25">
      <c r="A15" s="1">
        <v>14</v>
      </c>
      <c r="B15" s="8">
        <v>46036</v>
      </c>
      <c r="C15" s="1" t="s">
        <v>6</v>
      </c>
      <c r="D15" s="1" t="s">
        <v>7</v>
      </c>
      <c r="E15" s="1">
        <v>55</v>
      </c>
      <c r="F15" s="1">
        <v>12</v>
      </c>
      <c r="G15" s="1">
        <v>500</v>
      </c>
      <c r="H15" s="5" t="str">
        <f t="shared" si="5"/>
        <v>A</v>
      </c>
      <c r="I15" s="5" t="str">
        <f t="shared" si="2"/>
        <v>Cal Newport</v>
      </c>
      <c r="J15" s="5">
        <f t="shared" si="3"/>
        <v>55</v>
      </c>
      <c r="K15" s="5">
        <f t="shared" si="4"/>
        <v>9</v>
      </c>
      <c r="L15" s="5"/>
      <c r="M15" t="e">
        <f>INDEX(L62,MATCH(C5,C:C,0)+1,2)</f>
        <v>#REF!</v>
      </c>
    </row>
    <row r="16" spans="1:17" x14ac:dyDescent="0.25">
      <c r="A16" s="1">
        <v>15</v>
      </c>
      <c r="B16" s="8">
        <v>46037</v>
      </c>
      <c r="C16" s="1" t="s">
        <v>10</v>
      </c>
      <c r="D16" s="1" t="s">
        <v>11</v>
      </c>
      <c r="E16" s="1">
        <v>28</v>
      </c>
      <c r="F16" s="1">
        <v>4</v>
      </c>
      <c r="G16" s="1">
        <v>450</v>
      </c>
      <c r="H16" s="5" t="str">
        <f t="shared" si="5"/>
        <v>A</v>
      </c>
      <c r="I16" s="5" t="str">
        <f t="shared" si="2"/>
        <v>Hector Garcia</v>
      </c>
      <c r="J16" s="5">
        <f t="shared" si="3"/>
        <v>28</v>
      </c>
      <c r="K16" s="5">
        <f t="shared" si="4"/>
        <v>5</v>
      </c>
      <c r="L16" s="5"/>
    </row>
    <row r="17" spans="1:13" x14ac:dyDescent="0.25">
      <c r="A17" s="1">
        <v>16</v>
      </c>
      <c r="B17" s="8">
        <v>46038</v>
      </c>
      <c r="C17" s="1" t="s">
        <v>8</v>
      </c>
      <c r="D17" s="1" t="s">
        <v>9</v>
      </c>
      <c r="E17" s="1">
        <v>50</v>
      </c>
      <c r="F17" s="1">
        <v>8</v>
      </c>
      <c r="G17" s="1">
        <v>400</v>
      </c>
      <c r="H17" s="5" t="str">
        <f t="shared" si="5"/>
        <v>A</v>
      </c>
      <c r="I17" s="5" t="str">
        <f t="shared" si="2"/>
        <v>Paulo Coelho</v>
      </c>
      <c r="J17" s="5">
        <f t="shared" si="3"/>
        <v>50</v>
      </c>
      <c r="K17" s="5">
        <f t="shared" si="4"/>
        <v>12</v>
      </c>
      <c r="L17" s="5"/>
      <c r="M17" t="e">
        <f>index</f>
        <v>#NAME?</v>
      </c>
    </row>
    <row r="18" spans="1:13" x14ac:dyDescent="0.25">
      <c r="A18" s="1">
        <v>17</v>
      </c>
      <c r="B18" s="8">
        <v>46039</v>
      </c>
      <c r="C18" s="1" t="s">
        <v>0</v>
      </c>
      <c r="D18" s="1" t="s">
        <v>1</v>
      </c>
      <c r="E18" s="1">
        <v>40</v>
      </c>
      <c r="F18" s="1">
        <v>9</v>
      </c>
      <c r="G18" s="1">
        <v>300</v>
      </c>
      <c r="H18" s="5" t="str">
        <f t="shared" si="5"/>
        <v>B</v>
      </c>
      <c r="I18" s="5" t="str">
        <f t="shared" si="2"/>
        <v>Robert Kiyosaki</v>
      </c>
      <c r="J18" s="5">
        <f t="shared" si="3"/>
        <v>40</v>
      </c>
      <c r="K18" s="5">
        <f t="shared" si="4"/>
        <v>4</v>
      </c>
      <c r="L18" s="5"/>
    </row>
    <row r="19" spans="1:13" x14ac:dyDescent="0.25">
      <c r="A19" s="1">
        <v>18</v>
      </c>
      <c r="B19" s="8">
        <v>46040</v>
      </c>
      <c r="C19" s="1" t="s">
        <v>2</v>
      </c>
      <c r="D19" s="1" t="s">
        <v>3</v>
      </c>
      <c r="E19" s="1">
        <v>30</v>
      </c>
      <c r="F19" s="1">
        <v>6</v>
      </c>
      <c r="G19" s="1">
        <v>350</v>
      </c>
      <c r="H19" s="5" t="str">
        <f t="shared" si="5"/>
        <v>B</v>
      </c>
      <c r="I19" s="5" t="str">
        <f t="shared" si="2"/>
        <v>Napoleon Hill</v>
      </c>
      <c r="J19" s="5">
        <f t="shared" si="3"/>
        <v>30</v>
      </c>
      <c r="K19" s="5">
        <f t="shared" si="4"/>
        <v>8</v>
      </c>
      <c r="L19" s="5"/>
    </row>
    <row r="20" spans="1:13" x14ac:dyDescent="0.25">
      <c r="A20" s="1">
        <v>19</v>
      </c>
      <c r="B20" s="8">
        <v>46041</v>
      </c>
      <c r="C20" s="1" t="s">
        <v>4</v>
      </c>
      <c r="D20" s="1" t="s">
        <v>5</v>
      </c>
      <c r="E20" s="1">
        <v>45</v>
      </c>
      <c r="F20" s="1">
        <v>10</v>
      </c>
      <c r="G20" s="1">
        <v>320</v>
      </c>
      <c r="H20" s="5" t="str">
        <f>IF(G20&gt;=400,"A",IF(G20&gt;=300,"B","C"))</f>
        <v>B</v>
      </c>
      <c r="I20" s="5" t="str">
        <f t="shared" si="2"/>
        <v>James Clear</v>
      </c>
      <c r="J20" s="5">
        <f t="shared" si="3"/>
        <v>45</v>
      </c>
      <c r="K20" s="5">
        <f t="shared" si="4"/>
        <v>9</v>
      </c>
      <c r="L20" s="5"/>
    </row>
    <row r="21" spans="1:13" x14ac:dyDescent="0.25">
      <c r="A21" s="1">
        <v>20</v>
      </c>
      <c r="B21" s="8">
        <v>46042</v>
      </c>
      <c r="C21" s="1" t="s">
        <v>6</v>
      </c>
      <c r="D21" s="1" t="s">
        <v>7</v>
      </c>
      <c r="E21" s="1">
        <v>50</v>
      </c>
      <c r="F21" s="1">
        <v>13</v>
      </c>
      <c r="G21" s="1">
        <v>500</v>
      </c>
      <c r="H21" s="5" t="str">
        <f t="shared" si="5"/>
        <v>A</v>
      </c>
      <c r="I21" s="5" t="str">
        <f t="shared" si="2"/>
        <v>Hector Garcia</v>
      </c>
      <c r="J21" s="5">
        <f t="shared" si="3"/>
        <v>50</v>
      </c>
      <c r="K21" s="5">
        <f t="shared" si="4"/>
        <v>6</v>
      </c>
      <c r="L21" s="5"/>
    </row>
    <row r="22" spans="1:13" x14ac:dyDescent="0.25">
      <c r="A22" s="1">
        <v>21</v>
      </c>
      <c r="B22" s="8">
        <v>46043</v>
      </c>
      <c r="C22" s="1" t="s">
        <v>8</v>
      </c>
      <c r="D22" s="1" t="s">
        <v>9</v>
      </c>
      <c r="E22" s="1">
        <v>48</v>
      </c>
      <c r="F22" s="1">
        <v>7</v>
      </c>
      <c r="G22" s="1">
        <v>400</v>
      </c>
      <c r="H22" s="5" t="str">
        <f t="shared" si="5"/>
        <v>A</v>
      </c>
      <c r="I22" s="5" t="str">
        <f t="shared" si="2"/>
        <v>Cal Newport</v>
      </c>
      <c r="J22" s="5">
        <f t="shared" si="3"/>
        <v>48</v>
      </c>
      <c r="K22" s="5">
        <f t="shared" si="4"/>
        <v>10</v>
      </c>
      <c r="L22" s="5"/>
    </row>
    <row r="23" spans="1:13" x14ac:dyDescent="0.25">
      <c r="A23" s="1">
        <v>22</v>
      </c>
      <c r="B23" s="8">
        <v>46044</v>
      </c>
      <c r="C23" s="1" t="s">
        <v>10</v>
      </c>
      <c r="D23" s="1" t="s">
        <v>11</v>
      </c>
      <c r="E23" s="1">
        <v>25</v>
      </c>
      <c r="F23" s="1">
        <v>5</v>
      </c>
      <c r="G23" s="1">
        <v>450</v>
      </c>
      <c r="H23" s="5" t="str">
        <f t="shared" si="5"/>
        <v>A</v>
      </c>
      <c r="I23" s="5" t="str">
        <f t="shared" si="2"/>
        <v>Paulo Coelho</v>
      </c>
      <c r="J23" s="5">
        <f t="shared" si="3"/>
        <v>25</v>
      </c>
      <c r="K23" s="5">
        <f t="shared" si="4"/>
        <v>13</v>
      </c>
      <c r="L23" s="5"/>
      <c r="M23" t="str">
        <f>VLOOKUP(C20,C2:G22,2,0)</f>
        <v>Napoleon Hill</v>
      </c>
    </row>
    <row r="24" spans="1:13" x14ac:dyDescent="0.25">
      <c r="A24" s="1">
        <v>23</v>
      </c>
      <c r="B24" s="8">
        <v>46045</v>
      </c>
      <c r="C24" s="1" t="s">
        <v>0</v>
      </c>
      <c r="D24" s="1" t="s">
        <v>1</v>
      </c>
      <c r="E24" s="1">
        <v>38</v>
      </c>
      <c r="F24" s="1">
        <v>11</v>
      </c>
      <c r="G24" s="1">
        <v>300</v>
      </c>
      <c r="H24" s="5" t="str">
        <f t="shared" si="5"/>
        <v>B</v>
      </c>
      <c r="I24" s="5" t="str">
        <f t="shared" si="2"/>
        <v>Robert Kiyosaki</v>
      </c>
      <c r="J24" s="5">
        <f t="shared" si="3"/>
        <v>38</v>
      </c>
      <c r="K24" s="5">
        <f t="shared" si="4"/>
        <v>7</v>
      </c>
      <c r="L24" s="5"/>
    </row>
    <row r="25" spans="1:13" x14ac:dyDescent="0.25">
      <c r="A25" s="1">
        <v>24</v>
      </c>
      <c r="B25" s="8">
        <v>46046</v>
      </c>
      <c r="C25" s="1" t="s">
        <v>2</v>
      </c>
      <c r="D25" s="1" t="s">
        <v>3</v>
      </c>
      <c r="E25" s="1">
        <v>28</v>
      </c>
      <c r="F25" s="1">
        <v>4</v>
      </c>
      <c r="G25" s="1">
        <v>350</v>
      </c>
      <c r="H25" s="5" t="str">
        <f t="shared" si="5"/>
        <v>B</v>
      </c>
      <c r="I25" s="5" t="str">
        <f t="shared" si="2"/>
        <v>Napoleon Hill</v>
      </c>
      <c r="J25" s="5">
        <f t="shared" si="3"/>
        <v>28</v>
      </c>
      <c r="K25" s="5">
        <f t="shared" si="4"/>
        <v>5</v>
      </c>
      <c r="L25" s="5"/>
    </row>
    <row r="26" spans="1:13" x14ac:dyDescent="0.25">
      <c r="A26" s="1">
        <v>25</v>
      </c>
      <c r="B26" s="8">
        <v>46047</v>
      </c>
      <c r="C26" s="1" t="s">
        <v>4</v>
      </c>
      <c r="D26" s="1" t="s">
        <v>5</v>
      </c>
      <c r="E26" s="1">
        <v>42</v>
      </c>
      <c r="F26" s="1">
        <v>8</v>
      </c>
      <c r="G26" s="1">
        <v>200</v>
      </c>
      <c r="H26" s="5" t="str">
        <f t="shared" si="5"/>
        <v>C</v>
      </c>
      <c r="I26" s="5" t="str">
        <f t="shared" si="2"/>
        <v>James Clear</v>
      </c>
      <c r="J26" s="5">
        <f t="shared" si="3"/>
        <v>42</v>
      </c>
      <c r="K26" s="5">
        <f t="shared" si="4"/>
        <v>11</v>
      </c>
      <c r="L26" s="5"/>
    </row>
    <row r="27" spans="1:13" x14ac:dyDescent="0.25">
      <c r="A27" s="1">
        <v>26</v>
      </c>
      <c r="B27" s="8">
        <v>46048</v>
      </c>
      <c r="C27" s="1" t="s">
        <v>6</v>
      </c>
      <c r="D27" s="1" t="s">
        <v>7</v>
      </c>
      <c r="E27" s="1">
        <v>48</v>
      </c>
      <c r="F27" s="1">
        <v>10</v>
      </c>
      <c r="G27" s="1">
        <v>500</v>
      </c>
      <c r="H27" s="5" t="str">
        <f t="shared" si="5"/>
        <v>A</v>
      </c>
      <c r="I27" s="5" t="str">
        <f t="shared" si="2"/>
        <v>Hector Garcia</v>
      </c>
      <c r="J27" s="5">
        <f t="shared" si="3"/>
        <v>48</v>
      </c>
      <c r="K27" s="5">
        <f t="shared" si="4"/>
        <v>4</v>
      </c>
      <c r="L27" s="5"/>
    </row>
    <row r="28" spans="1:13" x14ac:dyDescent="0.25">
      <c r="A28" s="1">
        <v>27</v>
      </c>
      <c r="B28" s="8">
        <v>46049</v>
      </c>
      <c r="C28" s="1" t="s">
        <v>8</v>
      </c>
      <c r="D28" s="1" t="s">
        <v>9</v>
      </c>
      <c r="E28" s="1">
        <v>45</v>
      </c>
      <c r="F28" s="1">
        <v>9</v>
      </c>
      <c r="G28" s="1">
        <v>400</v>
      </c>
      <c r="H28" s="5" t="str">
        <f t="shared" si="5"/>
        <v>A</v>
      </c>
      <c r="I28" s="5" t="str">
        <f t="shared" si="2"/>
        <v>Cal Newport</v>
      </c>
      <c r="J28" s="5">
        <f t="shared" si="3"/>
        <v>45</v>
      </c>
      <c r="K28" s="5">
        <f t="shared" si="4"/>
        <v>8</v>
      </c>
      <c r="L28" s="5"/>
    </row>
    <row r="29" spans="1:13" x14ac:dyDescent="0.25">
      <c r="A29" s="1">
        <v>28</v>
      </c>
      <c r="B29" s="8">
        <v>46050</v>
      </c>
      <c r="C29" s="1" t="s">
        <v>10</v>
      </c>
      <c r="D29" s="1" t="s">
        <v>11</v>
      </c>
      <c r="E29" s="1">
        <v>22</v>
      </c>
      <c r="F29" s="1">
        <v>3</v>
      </c>
      <c r="G29" s="1">
        <v>450</v>
      </c>
      <c r="H29" s="5" t="str">
        <f t="shared" si="5"/>
        <v>A</v>
      </c>
      <c r="I29" s="5" t="str">
        <f t="shared" si="2"/>
        <v>Paulo Coelho</v>
      </c>
      <c r="J29" s="5">
        <f t="shared" si="3"/>
        <v>22</v>
      </c>
      <c r="K29" s="5">
        <f t="shared" si="4"/>
        <v>10</v>
      </c>
      <c r="L29" s="5"/>
    </row>
    <row r="30" spans="1:13" x14ac:dyDescent="0.25">
      <c r="A30" s="1">
        <v>29</v>
      </c>
      <c r="B30" s="8">
        <v>46051</v>
      </c>
      <c r="C30" s="1" t="s">
        <v>0</v>
      </c>
      <c r="D30" s="1" t="s">
        <v>1</v>
      </c>
      <c r="E30" s="1">
        <v>35</v>
      </c>
      <c r="F30" s="1">
        <v>7</v>
      </c>
      <c r="G30" s="1">
        <v>300</v>
      </c>
      <c r="H30" s="5" t="str">
        <f t="shared" si="5"/>
        <v>B</v>
      </c>
      <c r="I30" s="5" t="str">
        <f t="shared" si="2"/>
        <v>Robert Kiyosaki</v>
      </c>
      <c r="J30" s="5">
        <f t="shared" si="3"/>
        <v>35</v>
      </c>
      <c r="K30" s="5">
        <f t="shared" si="4"/>
        <v>9</v>
      </c>
      <c r="L30" s="5"/>
    </row>
    <row r="31" spans="1:13" x14ac:dyDescent="0.25">
      <c r="A31" s="1">
        <v>30</v>
      </c>
      <c r="B31" s="8">
        <v>46052</v>
      </c>
      <c r="C31" s="1" t="s">
        <v>2</v>
      </c>
      <c r="D31" s="1" t="s">
        <v>3</v>
      </c>
      <c r="E31" s="1">
        <v>25</v>
      </c>
      <c r="F31" s="1">
        <v>5</v>
      </c>
      <c r="G31" s="1">
        <v>350</v>
      </c>
      <c r="H31" s="5" t="str">
        <f t="shared" si="5"/>
        <v>B</v>
      </c>
      <c r="I31" s="5" t="str">
        <f t="shared" si="2"/>
        <v>Napoleon Hill</v>
      </c>
      <c r="J31" s="5">
        <f t="shared" si="3"/>
        <v>25</v>
      </c>
      <c r="K31" s="5">
        <f t="shared" si="4"/>
        <v>3</v>
      </c>
      <c r="L31" s="5"/>
    </row>
    <row r="32" spans="1:13" x14ac:dyDescent="0.25">
      <c r="A32" s="1">
        <v>31</v>
      </c>
      <c r="B32" s="8">
        <v>46053</v>
      </c>
      <c r="C32" s="1" t="s">
        <v>4</v>
      </c>
      <c r="D32" s="1" t="s">
        <v>5</v>
      </c>
      <c r="E32" s="1">
        <v>40</v>
      </c>
      <c r="F32" s="1">
        <v>6</v>
      </c>
      <c r="G32" s="1">
        <v>320</v>
      </c>
      <c r="H32" s="5" t="str">
        <f t="shared" si="5"/>
        <v>B</v>
      </c>
      <c r="I32" s="5" t="str">
        <f t="shared" si="2"/>
        <v>James Clear</v>
      </c>
      <c r="J32" s="5">
        <f t="shared" si="3"/>
        <v>40</v>
      </c>
      <c r="K32" s="5">
        <f t="shared" si="4"/>
        <v>7</v>
      </c>
      <c r="L32" s="5"/>
    </row>
    <row r="33" spans="1:12" x14ac:dyDescent="0.25">
      <c r="A33" s="1">
        <v>32</v>
      </c>
      <c r="B33" s="8">
        <v>46054</v>
      </c>
      <c r="C33" s="1" t="s">
        <v>6</v>
      </c>
      <c r="D33" s="1" t="s">
        <v>7</v>
      </c>
      <c r="E33" s="1">
        <v>45</v>
      </c>
      <c r="F33" s="1">
        <v>11</v>
      </c>
      <c r="G33" s="1">
        <v>500</v>
      </c>
      <c r="H33" s="5" t="str">
        <f t="shared" si="5"/>
        <v>A</v>
      </c>
      <c r="I33" s="5" t="str">
        <f t="shared" si="2"/>
        <v>Hector Garcia</v>
      </c>
      <c r="J33" s="5">
        <f t="shared" si="3"/>
        <v>45</v>
      </c>
      <c r="K33" s="5">
        <f t="shared" si="4"/>
        <v>5</v>
      </c>
      <c r="L33" s="5"/>
    </row>
    <row r="34" spans="1:12" x14ac:dyDescent="0.25">
      <c r="A34" s="1">
        <v>33</v>
      </c>
      <c r="B34" s="8">
        <v>46055</v>
      </c>
      <c r="C34" s="1" t="s">
        <v>8</v>
      </c>
      <c r="D34" s="1" t="s">
        <v>9</v>
      </c>
      <c r="E34" s="1">
        <v>42</v>
      </c>
      <c r="F34" s="1">
        <v>8</v>
      </c>
      <c r="G34" s="1">
        <v>400</v>
      </c>
      <c r="H34" s="5" t="str">
        <f t="shared" si="5"/>
        <v>A</v>
      </c>
      <c r="I34" s="5" t="str">
        <f t="shared" si="2"/>
        <v>Cal Newport</v>
      </c>
      <c r="J34" s="5">
        <f t="shared" si="3"/>
        <v>42</v>
      </c>
      <c r="K34" s="5">
        <f t="shared" si="4"/>
        <v>6</v>
      </c>
      <c r="L34" s="5"/>
    </row>
    <row r="35" spans="1:12" x14ac:dyDescent="0.25">
      <c r="A35" s="1">
        <v>34</v>
      </c>
      <c r="B35" s="8">
        <v>46056</v>
      </c>
      <c r="C35" s="1" t="s">
        <v>10</v>
      </c>
      <c r="D35" s="1" t="s">
        <v>11</v>
      </c>
      <c r="E35" s="1">
        <v>20</v>
      </c>
      <c r="F35" s="1">
        <v>4</v>
      </c>
      <c r="G35" s="1">
        <v>450</v>
      </c>
      <c r="H35" s="5" t="str">
        <f t="shared" si="5"/>
        <v>A</v>
      </c>
      <c r="I35" s="5" t="str">
        <f t="shared" si="2"/>
        <v>Paulo Coelho</v>
      </c>
      <c r="J35" s="5">
        <f t="shared" si="3"/>
        <v>20</v>
      </c>
      <c r="K35" s="5">
        <f t="shared" si="4"/>
        <v>11</v>
      </c>
      <c r="L35" s="5"/>
    </row>
    <row r="36" spans="1:12" x14ac:dyDescent="0.25">
      <c r="A36" s="1">
        <v>35</v>
      </c>
      <c r="B36" s="8">
        <v>46057</v>
      </c>
      <c r="C36" s="1" t="s">
        <v>0</v>
      </c>
      <c r="D36" s="1" t="s">
        <v>1</v>
      </c>
      <c r="E36" s="1">
        <v>30</v>
      </c>
      <c r="F36" s="1">
        <v>9</v>
      </c>
      <c r="G36" s="1">
        <v>300</v>
      </c>
      <c r="H36" s="5" t="str">
        <f t="shared" si="5"/>
        <v>B</v>
      </c>
      <c r="I36" s="5" t="str">
        <f t="shared" si="2"/>
        <v>Robert Kiyosaki</v>
      </c>
      <c r="J36" s="5">
        <f t="shared" si="3"/>
        <v>30</v>
      </c>
      <c r="K36" s="5">
        <f t="shared" si="4"/>
        <v>8</v>
      </c>
      <c r="L36" s="5"/>
    </row>
    <row r="37" spans="1:12" x14ac:dyDescent="0.25">
      <c r="A37" s="1">
        <v>36</v>
      </c>
      <c r="B37" s="8">
        <v>46058</v>
      </c>
      <c r="C37" s="1" t="s">
        <v>2</v>
      </c>
      <c r="D37" s="1" t="s">
        <v>3</v>
      </c>
      <c r="E37" s="1">
        <v>22</v>
      </c>
      <c r="F37" s="1">
        <v>3</v>
      </c>
      <c r="G37" s="1">
        <v>350</v>
      </c>
      <c r="H37" s="5" t="str">
        <f t="shared" si="5"/>
        <v>B</v>
      </c>
      <c r="I37" s="5" t="str">
        <f t="shared" si="2"/>
        <v>Napoleon Hill</v>
      </c>
      <c r="J37" s="5">
        <f t="shared" si="3"/>
        <v>22</v>
      </c>
      <c r="K37" s="5">
        <f t="shared" si="4"/>
        <v>4</v>
      </c>
      <c r="L37" s="5"/>
    </row>
    <row r="38" spans="1:12" x14ac:dyDescent="0.25">
      <c r="A38" s="1">
        <v>37</v>
      </c>
      <c r="B38" s="8">
        <v>46059</v>
      </c>
      <c r="C38" s="1" t="s">
        <v>4</v>
      </c>
      <c r="D38" s="1" t="s">
        <v>5</v>
      </c>
      <c r="E38" s="1">
        <v>38</v>
      </c>
      <c r="F38" s="1">
        <v>7</v>
      </c>
      <c r="G38" s="1">
        <v>320</v>
      </c>
      <c r="H38" s="5" t="str">
        <f t="shared" si="5"/>
        <v>B</v>
      </c>
      <c r="I38" s="5" t="str">
        <f t="shared" si="2"/>
        <v>James Clear</v>
      </c>
      <c r="J38" s="5">
        <f t="shared" si="3"/>
        <v>38</v>
      </c>
      <c r="K38" s="5">
        <f t="shared" si="4"/>
        <v>9</v>
      </c>
      <c r="L38" s="5"/>
    </row>
    <row r="39" spans="1:12" x14ac:dyDescent="0.25">
      <c r="A39" s="1">
        <v>38</v>
      </c>
      <c r="B39" s="8">
        <v>46060</v>
      </c>
      <c r="C39" s="1" t="s">
        <v>6</v>
      </c>
      <c r="D39" s="1" t="s">
        <v>7</v>
      </c>
      <c r="E39" s="1">
        <v>42</v>
      </c>
      <c r="F39" s="1">
        <v>12</v>
      </c>
      <c r="G39" s="1">
        <v>500</v>
      </c>
      <c r="H39" s="5" t="str">
        <f t="shared" si="5"/>
        <v>A</v>
      </c>
      <c r="I39" s="5" t="str">
        <f t="shared" si="2"/>
        <v>Hector Garcia</v>
      </c>
      <c r="J39" s="5">
        <f t="shared" si="3"/>
        <v>42</v>
      </c>
      <c r="K39" s="5">
        <f t="shared" si="4"/>
        <v>3</v>
      </c>
      <c r="L39" s="5"/>
    </row>
    <row r="40" spans="1:12" x14ac:dyDescent="0.25">
      <c r="A40" s="1">
        <v>39</v>
      </c>
      <c r="B40" s="8">
        <v>46061</v>
      </c>
      <c r="C40" s="1" t="s">
        <v>8</v>
      </c>
      <c r="D40" s="1" t="s">
        <v>9</v>
      </c>
      <c r="E40" s="1">
        <v>40</v>
      </c>
      <c r="F40" s="1">
        <v>6</v>
      </c>
      <c r="G40" s="1">
        <v>400</v>
      </c>
      <c r="H40" s="5" t="str">
        <f t="shared" si="5"/>
        <v>A</v>
      </c>
      <c r="I40" s="5" t="str">
        <f t="shared" si="2"/>
        <v>Cal Newport</v>
      </c>
      <c r="J40" s="5">
        <f t="shared" si="3"/>
        <v>40</v>
      </c>
      <c r="K40" s="5">
        <f t="shared" si="4"/>
        <v>7</v>
      </c>
      <c r="L40" s="5"/>
    </row>
    <row r="41" spans="1:12" x14ac:dyDescent="0.25">
      <c r="A41" s="1">
        <v>40</v>
      </c>
      <c r="B41" s="8">
        <v>46062</v>
      </c>
      <c r="C41" s="1" t="s">
        <v>10</v>
      </c>
      <c r="D41" s="1" t="s">
        <v>11</v>
      </c>
      <c r="E41" s="1">
        <v>18</v>
      </c>
      <c r="F41" s="1">
        <v>2</v>
      </c>
      <c r="G41" s="1">
        <v>450</v>
      </c>
      <c r="H41" s="5" t="str">
        <f t="shared" si="5"/>
        <v>A</v>
      </c>
      <c r="I41" s="5" t="str">
        <f t="shared" si="2"/>
        <v>Paulo Coelho</v>
      </c>
      <c r="J41" s="5">
        <f t="shared" si="3"/>
        <v>18</v>
      </c>
      <c r="K41" s="5">
        <f t="shared" si="4"/>
        <v>12</v>
      </c>
      <c r="L41" s="5"/>
    </row>
    <row r="42" spans="1:12" x14ac:dyDescent="0.25">
      <c r="A42" s="1">
        <v>41</v>
      </c>
      <c r="B42" s="8">
        <v>46063</v>
      </c>
      <c r="C42" s="1" t="s">
        <v>0</v>
      </c>
      <c r="D42" s="1" t="s">
        <v>1</v>
      </c>
      <c r="E42" s="1">
        <v>28</v>
      </c>
      <c r="F42" s="1">
        <v>8</v>
      </c>
      <c r="G42" s="1">
        <v>300</v>
      </c>
      <c r="H42" s="5" t="str">
        <f t="shared" si="5"/>
        <v>B</v>
      </c>
      <c r="I42" s="5" t="str">
        <f t="shared" si="2"/>
        <v>Robert Kiyosaki</v>
      </c>
      <c r="J42" s="5">
        <f t="shared" si="3"/>
        <v>28</v>
      </c>
      <c r="K42" s="5">
        <f t="shared" si="4"/>
        <v>6</v>
      </c>
      <c r="L42" s="5"/>
    </row>
    <row r="43" spans="1:12" x14ac:dyDescent="0.25">
      <c r="A43" s="1">
        <v>42</v>
      </c>
      <c r="B43" s="8">
        <v>46064</v>
      </c>
      <c r="C43" s="1" t="s">
        <v>2</v>
      </c>
      <c r="D43" s="1" t="s">
        <v>3</v>
      </c>
      <c r="E43" s="1">
        <v>20</v>
      </c>
      <c r="F43" s="1">
        <v>4</v>
      </c>
      <c r="G43" s="1">
        <v>350</v>
      </c>
      <c r="H43" s="5" t="str">
        <f t="shared" si="5"/>
        <v>B</v>
      </c>
      <c r="I43" s="5" t="str">
        <f t="shared" si="2"/>
        <v>Napoleon Hill</v>
      </c>
      <c r="J43" s="5">
        <f t="shared" si="3"/>
        <v>20</v>
      </c>
      <c r="K43" s="5">
        <f t="shared" si="4"/>
        <v>2</v>
      </c>
      <c r="L43" s="5"/>
    </row>
    <row r="44" spans="1:12" x14ac:dyDescent="0.25">
      <c r="A44" s="1">
        <v>43</v>
      </c>
      <c r="B44" s="8">
        <v>46065</v>
      </c>
      <c r="C44" s="1" t="s">
        <v>4</v>
      </c>
      <c r="D44" s="1" t="s">
        <v>5</v>
      </c>
      <c r="E44" s="1">
        <v>35</v>
      </c>
      <c r="F44" s="1">
        <v>5</v>
      </c>
      <c r="G44" s="1">
        <v>320</v>
      </c>
      <c r="H44" s="5" t="str">
        <f t="shared" si="5"/>
        <v>B</v>
      </c>
      <c r="I44" s="5" t="str">
        <f t="shared" si="2"/>
        <v>James Clear</v>
      </c>
      <c r="J44" s="5">
        <f t="shared" si="3"/>
        <v>35</v>
      </c>
      <c r="K44" s="5">
        <f t="shared" si="4"/>
        <v>8</v>
      </c>
      <c r="L44" s="5"/>
    </row>
    <row r="45" spans="1:12" x14ac:dyDescent="0.25">
      <c r="A45" s="1">
        <v>44</v>
      </c>
      <c r="B45" s="8">
        <v>46066</v>
      </c>
      <c r="C45" s="1" t="s">
        <v>6</v>
      </c>
      <c r="D45" s="1" t="s">
        <v>7</v>
      </c>
      <c r="E45" s="1">
        <v>40</v>
      </c>
      <c r="F45" s="1">
        <v>9</v>
      </c>
      <c r="G45" s="1">
        <v>500</v>
      </c>
      <c r="H45" s="5" t="str">
        <f t="shared" si="5"/>
        <v>A</v>
      </c>
      <c r="I45" s="5" t="str">
        <f t="shared" si="2"/>
        <v>Hector Garcia</v>
      </c>
      <c r="J45" s="5">
        <f t="shared" si="3"/>
        <v>40</v>
      </c>
      <c r="K45" s="5">
        <f t="shared" si="4"/>
        <v>4</v>
      </c>
      <c r="L45" s="5"/>
    </row>
    <row r="46" spans="1:12" x14ac:dyDescent="0.25">
      <c r="A46" s="1">
        <v>45</v>
      </c>
      <c r="B46" s="8">
        <v>46067</v>
      </c>
      <c r="C46" s="1" t="s">
        <v>8</v>
      </c>
      <c r="D46" s="1" t="s">
        <v>9</v>
      </c>
      <c r="E46" s="1">
        <v>38</v>
      </c>
      <c r="F46" s="1">
        <v>7</v>
      </c>
      <c r="G46" s="1">
        <v>400</v>
      </c>
      <c r="H46" s="5" t="str">
        <f t="shared" si="5"/>
        <v>A</v>
      </c>
      <c r="I46" s="5" t="str">
        <f t="shared" si="2"/>
        <v>Cal Newport</v>
      </c>
      <c r="J46" s="5">
        <f t="shared" si="3"/>
        <v>38</v>
      </c>
      <c r="K46" s="5">
        <f t="shared" si="4"/>
        <v>5</v>
      </c>
      <c r="L46" s="5"/>
    </row>
    <row r="47" spans="1:12" x14ac:dyDescent="0.25">
      <c r="A47" s="1">
        <v>46</v>
      </c>
      <c r="B47" s="8">
        <v>46068</v>
      </c>
      <c r="C47" s="1" t="s">
        <v>10</v>
      </c>
      <c r="D47" s="1" t="s">
        <v>11</v>
      </c>
      <c r="E47" s="1">
        <v>15</v>
      </c>
      <c r="F47" s="1">
        <v>3</v>
      </c>
      <c r="G47" s="1">
        <v>450</v>
      </c>
      <c r="H47" s="5" t="str">
        <f t="shared" si="5"/>
        <v>A</v>
      </c>
      <c r="I47" s="5" t="str">
        <f t="shared" si="2"/>
        <v>Paulo Coelho</v>
      </c>
      <c r="J47" s="5">
        <f t="shared" si="3"/>
        <v>15</v>
      </c>
      <c r="K47" s="5">
        <f t="shared" si="4"/>
        <v>9</v>
      </c>
      <c r="L47" s="5"/>
    </row>
    <row r="48" spans="1:12" x14ac:dyDescent="0.25">
      <c r="A48" s="1">
        <v>47</v>
      </c>
      <c r="B48" s="8">
        <v>46069</v>
      </c>
      <c r="C48" s="1" t="s">
        <v>0</v>
      </c>
      <c r="D48" s="1" t="s">
        <v>1</v>
      </c>
      <c r="E48" s="1">
        <v>25</v>
      </c>
      <c r="F48" s="1">
        <v>6</v>
      </c>
      <c r="G48" s="1">
        <v>300</v>
      </c>
      <c r="H48" s="5" t="str">
        <f t="shared" si="5"/>
        <v>B</v>
      </c>
      <c r="I48" s="5" t="str">
        <f t="shared" si="2"/>
        <v>Robert Kiyosaki</v>
      </c>
      <c r="J48" s="5">
        <f t="shared" si="3"/>
        <v>25</v>
      </c>
      <c r="K48" s="5">
        <f t="shared" si="4"/>
        <v>7</v>
      </c>
      <c r="L48" s="5"/>
    </row>
    <row r="49" spans="1:12" x14ac:dyDescent="0.25">
      <c r="A49" s="1">
        <v>48</v>
      </c>
      <c r="B49" s="8">
        <v>46070</v>
      </c>
      <c r="C49" s="1" t="s">
        <v>2</v>
      </c>
      <c r="D49" s="1" t="s">
        <v>3</v>
      </c>
      <c r="E49" s="1">
        <v>18</v>
      </c>
      <c r="F49" s="1">
        <v>2</v>
      </c>
      <c r="G49" s="1">
        <v>350</v>
      </c>
      <c r="H49" s="5" t="str">
        <f t="shared" si="5"/>
        <v>B</v>
      </c>
      <c r="I49" s="5" t="str">
        <f t="shared" si="2"/>
        <v>Napoleon Hill</v>
      </c>
      <c r="J49" s="5">
        <f t="shared" si="3"/>
        <v>18</v>
      </c>
      <c r="K49" s="5">
        <f t="shared" si="4"/>
        <v>3</v>
      </c>
      <c r="L49" s="5"/>
    </row>
    <row r="50" spans="1:12" x14ac:dyDescent="0.25">
      <c r="A50" s="1">
        <v>49</v>
      </c>
      <c r="B50" s="8">
        <v>46071</v>
      </c>
      <c r="C50" s="1" t="s">
        <v>4</v>
      </c>
      <c r="D50" s="1" t="s">
        <v>5</v>
      </c>
      <c r="E50" s="1">
        <v>30</v>
      </c>
      <c r="F50" s="1">
        <v>4</v>
      </c>
      <c r="G50" s="1">
        <v>320</v>
      </c>
      <c r="H50" s="5" t="str">
        <f t="shared" si="5"/>
        <v>B</v>
      </c>
      <c r="I50" s="5" t="str">
        <f t="shared" si="2"/>
        <v>James Clear</v>
      </c>
      <c r="J50" s="5">
        <f t="shared" si="3"/>
        <v>30</v>
      </c>
      <c r="K50" s="5">
        <f t="shared" si="4"/>
        <v>6</v>
      </c>
      <c r="L50" s="5"/>
    </row>
    <row r="51" spans="1:12" x14ac:dyDescent="0.25">
      <c r="A51" s="1">
        <v>50</v>
      </c>
      <c r="B51" s="8">
        <v>46072</v>
      </c>
      <c r="C51" s="1" t="s">
        <v>6</v>
      </c>
      <c r="D51" s="1" t="s">
        <v>7</v>
      </c>
      <c r="E51" s="1">
        <v>38</v>
      </c>
      <c r="F51" s="1">
        <v>10</v>
      </c>
      <c r="G51" s="1">
        <v>500</v>
      </c>
      <c r="H51" s="5" t="str">
        <f t="shared" si="5"/>
        <v>A</v>
      </c>
      <c r="I51" s="5" t="e">
        <f t="shared" ref="I51" si="6">VLOOKUP(C52,C48:G97,2,FALSE)</f>
        <v>#N/A</v>
      </c>
      <c r="J51" s="5">
        <f t="shared" si="3"/>
        <v>38</v>
      </c>
      <c r="K51" s="5">
        <f t="shared" si="4"/>
        <v>2</v>
      </c>
      <c r="L51" s="5"/>
    </row>
    <row r="56" spans="1:12" ht="15.75" thickBot="1" x14ac:dyDescent="0.3"/>
    <row r="57" spans="1:12" ht="15.75" thickBot="1" x14ac:dyDescent="0.3">
      <c r="C57" s="6" t="s">
        <v>19</v>
      </c>
      <c r="D57" s="6" t="s">
        <v>20</v>
      </c>
      <c r="E57" s="6" t="s">
        <v>21</v>
      </c>
      <c r="F57" s="6" t="s">
        <v>22</v>
      </c>
    </row>
    <row r="58" spans="1:12" ht="15.75" thickBot="1" x14ac:dyDescent="0.3">
      <c r="C58" s="7">
        <v>1001</v>
      </c>
      <c r="D58" s="7" t="s">
        <v>23</v>
      </c>
      <c r="E58" s="7" t="s">
        <v>24</v>
      </c>
      <c r="F58" s="7" t="s">
        <v>25</v>
      </c>
      <c r="I58">
        <f>MATCH("Sales",E58:E108,0)</f>
        <v>1</v>
      </c>
    </row>
    <row r="59" spans="1:12" ht="15.75" thickBot="1" x14ac:dyDescent="0.3">
      <c r="C59" s="7">
        <v>1002</v>
      </c>
      <c r="D59" s="7" t="s">
        <v>26</v>
      </c>
      <c r="E59" s="7" t="s">
        <v>27</v>
      </c>
      <c r="F59" s="7" t="s">
        <v>28</v>
      </c>
      <c r="I59" t="str">
        <f>VLOOKUP("Liam Smith",$D$58:$F$107,2,FALSE)</f>
        <v>Sales</v>
      </c>
      <c r="J59" t="str">
        <f>VLOOKUP("Liam Smith",$D$58:$F$107,3,FALSE)</f>
        <v>North</v>
      </c>
      <c r="K59" t="str">
        <f>VLOOKUP("Liam Smith",$D$58:$F$107,3,FALSE)</f>
        <v>North</v>
      </c>
    </row>
    <row r="60" spans="1:12" ht="15.75" thickBot="1" x14ac:dyDescent="0.3">
      <c r="C60" s="7">
        <v>1003</v>
      </c>
      <c r="D60" s="7" t="s">
        <v>29</v>
      </c>
      <c r="E60" s="7" t="s">
        <v>30</v>
      </c>
      <c r="F60" s="7" t="s">
        <v>31</v>
      </c>
    </row>
    <row r="61" spans="1:12" ht="15.75" thickBot="1" x14ac:dyDescent="0.3">
      <c r="C61" s="7">
        <v>1004</v>
      </c>
      <c r="D61" s="7" t="s">
        <v>32</v>
      </c>
      <c r="E61" s="7" t="s">
        <v>33</v>
      </c>
      <c r="F61" s="7" t="s">
        <v>34</v>
      </c>
    </row>
    <row r="62" spans="1:12" ht="15.75" thickBot="1" x14ac:dyDescent="0.3">
      <c r="C62" s="7">
        <v>1005</v>
      </c>
      <c r="D62" s="7" t="s">
        <v>35</v>
      </c>
      <c r="E62" s="7" t="s">
        <v>36</v>
      </c>
      <c r="F62" s="7" t="s">
        <v>25</v>
      </c>
      <c r="H62" t="str">
        <f>INDEX(C57:F107,MATCH(D66,D57:D107,0),2)</f>
        <v>Henry Martinez</v>
      </c>
    </row>
    <row r="63" spans="1:12" ht="15.75" thickBot="1" x14ac:dyDescent="0.3">
      <c r="C63" s="7">
        <v>1006</v>
      </c>
      <c r="D63" s="7" t="s">
        <v>37</v>
      </c>
      <c r="E63" s="7" t="s">
        <v>24</v>
      </c>
      <c r="F63" s="7" t="s">
        <v>28</v>
      </c>
    </row>
    <row r="64" spans="1:12" ht="15.75" thickBot="1" x14ac:dyDescent="0.3">
      <c r="C64" s="7">
        <v>1007</v>
      </c>
      <c r="D64" s="7" t="s">
        <v>38</v>
      </c>
      <c r="E64" s="7" t="s">
        <v>27</v>
      </c>
      <c r="F64" s="7" t="s">
        <v>31</v>
      </c>
      <c r="H64" t="str">
        <f>INDEX(C57:F107,MATCH(D62,D57:D107,0),4)</f>
        <v>North</v>
      </c>
      <c r="I64" t="e">
        <f>INDEX(L13,MATCH(D60,D57:D107,0),3)</f>
        <v>#REF!</v>
      </c>
    </row>
    <row r="65" spans="3:15" ht="15.75" thickBot="1" x14ac:dyDescent="0.3">
      <c r="C65" s="7">
        <v>1008</v>
      </c>
      <c r="D65" s="7" t="s">
        <v>39</v>
      </c>
      <c r="E65" s="7" t="s">
        <v>30</v>
      </c>
      <c r="F65" s="7" t="s">
        <v>34</v>
      </c>
    </row>
    <row r="66" spans="3:15" ht="15.75" thickBot="1" x14ac:dyDescent="0.3">
      <c r="C66" s="7">
        <v>1009</v>
      </c>
      <c r="D66" s="7" t="s">
        <v>40</v>
      </c>
      <c r="E66" s="7" t="s">
        <v>33</v>
      </c>
      <c r="F66" s="7" t="s">
        <v>25</v>
      </c>
      <c r="H66" t="str">
        <f>VLOOKUP(D68,D57:F107,2,0)</f>
        <v>Sales</v>
      </c>
    </row>
    <row r="67" spans="3:15" ht="15.75" thickBot="1" x14ac:dyDescent="0.3">
      <c r="C67" s="7">
        <v>1010</v>
      </c>
      <c r="D67" s="7" t="s">
        <v>41</v>
      </c>
      <c r="E67" s="7" t="s">
        <v>36</v>
      </c>
      <c r="F67" s="7" t="s">
        <v>28</v>
      </c>
    </row>
    <row r="68" spans="3:15" ht="15.75" thickBot="1" x14ac:dyDescent="0.3">
      <c r="C68" s="7">
        <v>1011</v>
      </c>
      <c r="D68" s="7" t="s">
        <v>42</v>
      </c>
      <c r="E68" s="7" t="s">
        <v>24</v>
      </c>
      <c r="F68" s="7" t="s">
        <v>31</v>
      </c>
    </row>
    <row r="69" spans="3:15" ht="15.75" thickBot="1" x14ac:dyDescent="0.3">
      <c r="C69" s="7">
        <v>1012</v>
      </c>
      <c r="D69" s="7" t="s">
        <v>43</v>
      </c>
      <c r="E69" s="7" t="s">
        <v>27</v>
      </c>
      <c r="F69" s="7" t="s">
        <v>34</v>
      </c>
    </row>
    <row r="70" spans="3:15" ht="15.75" thickBot="1" x14ac:dyDescent="0.3">
      <c r="C70" s="7">
        <v>1013</v>
      </c>
      <c r="D70" s="7" t="s">
        <v>44</v>
      </c>
      <c r="E70" s="7" t="s">
        <v>30</v>
      </c>
      <c r="F70" s="7" t="s">
        <v>25</v>
      </c>
      <c r="I70">
        <f>MATCH(D62,D58:D73,0)</f>
        <v>5</v>
      </c>
    </row>
    <row r="71" spans="3:15" ht="15.75" thickBot="1" x14ac:dyDescent="0.3">
      <c r="C71" s="7">
        <v>1014</v>
      </c>
      <c r="D71" s="7" t="s">
        <v>45</v>
      </c>
      <c r="E71" s="7" t="s">
        <v>33</v>
      </c>
      <c r="F71" s="7" t="s">
        <v>28</v>
      </c>
    </row>
    <row r="72" spans="3:15" ht="15.75" thickBot="1" x14ac:dyDescent="0.3">
      <c r="C72" s="7">
        <v>1015</v>
      </c>
      <c r="D72" s="7" t="s">
        <v>46</v>
      </c>
      <c r="E72" s="7" t="s">
        <v>36</v>
      </c>
      <c r="F72" s="7" t="s">
        <v>31</v>
      </c>
    </row>
    <row r="73" spans="3:15" ht="15.75" thickBot="1" x14ac:dyDescent="0.3">
      <c r="C73" s="7">
        <v>1016</v>
      </c>
      <c r="D73" s="7" t="s">
        <v>47</v>
      </c>
      <c r="E73" s="7" t="s">
        <v>24</v>
      </c>
      <c r="F73" s="7" t="s">
        <v>34</v>
      </c>
      <c r="K73" s="2" t="s">
        <v>19</v>
      </c>
      <c r="L73" s="2" t="s">
        <v>82</v>
      </c>
      <c r="M73" s="2" t="s">
        <v>83</v>
      </c>
    </row>
    <row r="74" spans="3:15" ht="15.75" thickBot="1" x14ac:dyDescent="0.3">
      <c r="C74" s="7">
        <v>1017</v>
      </c>
      <c r="D74" s="7" t="s">
        <v>48</v>
      </c>
      <c r="E74" s="7" t="s">
        <v>27</v>
      </c>
      <c r="F74" s="7" t="s">
        <v>25</v>
      </c>
      <c r="K74" s="9">
        <v>101</v>
      </c>
      <c r="L74" s="9" t="s">
        <v>84</v>
      </c>
      <c r="M74" s="9" t="s">
        <v>85</v>
      </c>
    </row>
    <row r="75" spans="3:15" ht="15.75" thickBot="1" x14ac:dyDescent="0.3">
      <c r="C75" s="7">
        <v>1018</v>
      </c>
      <c r="D75" s="7" t="s">
        <v>49</v>
      </c>
      <c r="E75" s="7" t="s">
        <v>30</v>
      </c>
      <c r="F75" s="7" t="s">
        <v>28</v>
      </c>
      <c r="K75" s="9">
        <v>102</v>
      </c>
      <c r="L75" s="9" t="s">
        <v>86</v>
      </c>
      <c r="M75" s="9" t="s">
        <v>87</v>
      </c>
      <c r="O75" t="str">
        <f>VLOOKUP(L75,L73:M76,1,0)</f>
        <v>Sara</v>
      </c>
    </row>
    <row r="76" spans="3:15" ht="15.75" thickBot="1" x14ac:dyDescent="0.3">
      <c r="C76" s="7">
        <v>1019</v>
      </c>
      <c r="D76" s="7" t="s">
        <v>50</v>
      </c>
      <c r="E76" s="7" t="s">
        <v>33</v>
      </c>
      <c r="F76" s="7" t="s">
        <v>31</v>
      </c>
      <c r="K76" s="9">
        <v>103</v>
      </c>
      <c r="L76" s="9" t="s">
        <v>88</v>
      </c>
      <c r="M76" s="9" t="s">
        <v>89</v>
      </c>
    </row>
    <row r="77" spans="3:15" ht="15.75" thickBot="1" x14ac:dyDescent="0.3">
      <c r="C77" s="7">
        <v>1020</v>
      </c>
      <c r="D77" s="7" t="s">
        <v>51</v>
      </c>
      <c r="E77" s="7" t="s">
        <v>36</v>
      </c>
      <c r="F77" s="7" t="s">
        <v>34</v>
      </c>
    </row>
    <row r="78" spans="3:15" ht="15.75" thickBot="1" x14ac:dyDescent="0.3">
      <c r="C78" s="7">
        <v>1021</v>
      </c>
      <c r="D78" s="7" t="s">
        <v>52</v>
      </c>
      <c r="E78" s="7" t="s">
        <v>24</v>
      </c>
      <c r="F78" s="7" t="s">
        <v>25</v>
      </c>
    </row>
    <row r="79" spans="3:15" ht="15.75" thickBot="1" x14ac:dyDescent="0.3">
      <c r="C79" s="7">
        <v>1022</v>
      </c>
      <c r="D79" s="7" t="s">
        <v>53</v>
      </c>
      <c r="E79" s="7" t="s">
        <v>27</v>
      </c>
      <c r="F79" s="7" t="s">
        <v>28</v>
      </c>
    </row>
    <row r="80" spans="3:15" ht="15.75" thickBot="1" x14ac:dyDescent="0.3">
      <c r="C80" s="7">
        <v>1023</v>
      </c>
      <c r="D80" s="7" t="s">
        <v>54</v>
      </c>
      <c r="E80" s="7" t="s">
        <v>30</v>
      </c>
      <c r="F80" s="7" t="s">
        <v>31</v>
      </c>
    </row>
    <row r="81" spans="3:6" ht="15.75" thickBot="1" x14ac:dyDescent="0.3">
      <c r="C81" s="7">
        <v>1024</v>
      </c>
      <c r="D81" s="7" t="s">
        <v>55</v>
      </c>
      <c r="E81" s="7" t="s">
        <v>33</v>
      </c>
      <c r="F81" s="7" t="s">
        <v>34</v>
      </c>
    </row>
    <row r="82" spans="3:6" ht="15.75" thickBot="1" x14ac:dyDescent="0.3">
      <c r="C82" s="7">
        <v>1025</v>
      </c>
      <c r="D82" s="7" t="s">
        <v>56</v>
      </c>
      <c r="E82" s="7" t="s">
        <v>36</v>
      </c>
      <c r="F82" s="7" t="s">
        <v>25</v>
      </c>
    </row>
    <row r="83" spans="3:6" ht="15.75" thickBot="1" x14ac:dyDescent="0.3">
      <c r="C83" s="7">
        <v>1026</v>
      </c>
      <c r="D83" s="7" t="s">
        <v>57</v>
      </c>
      <c r="E83" s="7" t="s">
        <v>24</v>
      </c>
      <c r="F83" s="7" t="s">
        <v>28</v>
      </c>
    </row>
    <row r="84" spans="3:6" ht="15.75" thickBot="1" x14ac:dyDescent="0.3">
      <c r="C84" s="7">
        <v>1027</v>
      </c>
      <c r="D84" s="7" t="s">
        <v>58</v>
      </c>
      <c r="E84" s="7" t="s">
        <v>27</v>
      </c>
      <c r="F84" s="7" t="s">
        <v>31</v>
      </c>
    </row>
    <row r="85" spans="3:6" ht="15.75" thickBot="1" x14ac:dyDescent="0.3">
      <c r="C85" s="7">
        <v>1028</v>
      </c>
      <c r="D85" s="7" t="s">
        <v>59</v>
      </c>
      <c r="E85" s="7" t="s">
        <v>30</v>
      </c>
      <c r="F85" s="7" t="s">
        <v>34</v>
      </c>
    </row>
    <row r="86" spans="3:6" ht="15.75" thickBot="1" x14ac:dyDescent="0.3">
      <c r="C86" s="7">
        <v>1029</v>
      </c>
      <c r="D86" s="7" t="s">
        <v>60</v>
      </c>
      <c r="E86" s="7" t="s">
        <v>33</v>
      </c>
      <c r="F86" s="7" t="s">
        <v>25</v>
      </c>
    </row>
    <row r="87" spans="3:6" ht="15.75" thickBot="1" x14ac:dyDescent="0.3">
      <c r="C87" s="7">
        <v>1030</v>
      </c>
      <c r="D87" s="7" t="s">
        <v>61</v>
      </c>
      <c r="E87" s="7" t="s">
        <v>36</v>
      </c>
      <c r="F87" s="7" t="s">
        <v>28</v>
      </c>
    </row>
    <row r="88" spans="3:6" ht="15.75" thickBot="1" x14ac:dyDescent="0.3">
      <c r="C88" s="7">
        <v>1031</v>
      </c>
      <c r="D88" s="7" t="s">
        <v>62</v>
      </c>
      <c r="E88" s="7" t="s">
        <v>24</v>
      </c>
      <c r="F88" s="7" t="s">
        <v>31</v>
      </c>
    </row>
    <row r="89" spans="3:6" ht="15.75" thickBot="1" x14ac:dyDescent="0.3">
      <c r="C89" s="7">
        <v>1032</v>
      </c>
      <c r="D89" s="7" t="s">
        <v>63</v>
      </c>
      <c r="E89" s="7" t="s">
        <v>27</v>
      </c>
      <c r="F89" s="7" t="s">
        <v>34</v>
      </c>
    </row>
    <row r="90" spans="3:6" ht="15.75" thickBot="1" x14ac:dyDescent="0.3">
      <c r="C90" s="7">
        <v>1033</v>
      </c>
      <c r="D90" s="7" t="s">
        <v>64</v>
      </c>
      <c r="E90" s="7" t="s">
        <v>30</v>
      </c>
      <c r="F90" s="7" t="s">
        <v>25</v>
      </c>
    </row>
    <row r="91" spans="3:6" ht="15.75" thickBot="1" x14ac:dyDescent="0.3">
      <c r="C91" s="7">
        <v>1034</v>
      </c>
      <c r="D91" s="7" t="s">
        <v>65</v>
      </c>
      <c r="E91" s="7" t="s">
        <v>33</v>
      </c>
      <c r="F91" s="7" t="s">
        <v>28</v>
      </c>
    </row>
    <row r="92" spans="3:6" ht="15.75" thickBot="1" x14ac:dyDescent="0.3">
      <c r="C92" s="7">
        <v>1035</v>
      </c>
      <c r="D92" s="7" t="s">
        <v>66</v>
      </c>
      <c r="E92" s="7" t="s">
        <v>36</v>
      </c>
      <c r="F92" s="7" t="s">
        <v>31</v>
      </c>
    </row>
    <row r="93" spans="3:6" ht="15.75" thickBot="1" x14ac:dyDescent="0.3">
      <c r="C93" s="7">
        <v>1036</v>
      </c>
      <c r="D93" s="7" t="s">
        <v>67</v>
      </c>
      <c r="E93" s="7" t="s">
        <v>24</v>
      </c>
      <c r="F93" s="7" t="s">
        <v>34</v>
      </c>
    </row>
    <row r="94" spans="3:6" ht="15.75" thickBot="1" x14ac:dyDescent="0.3">
      <c r="C94" s="7">
        <v>1037</v>
      </c>
      <c r="D94" s="7" t="s">
        <v>68</v>
      </c>
      <c r="E94" s="7" t="s">
        <v>27</v>
      </c>
      <c r="F94" s="7" t="s">
        <v>25</v>
      </c>
    </row>
    <row r="95" spans="3:6" ht="15.75" thickBot="1" x14ac:dyDescent="0.3">
      <c r="C95" s="7">
        <v>1038</v>
      </c>
      <c r="D95" s="7" t="s">
        <v>69</v>
      </c>
      <c r="E95" s="7" t="s">
        <v>30</v>
      </c>
      <c r="F95" s="7" t="s">
        <v>28</v>
      </c>
    </row>
    <row r="96" spans="3:6" ht="15.75" thickBot="1" x14ac:dyDescent="0.3">
      <c r="C96" s="7">
        <v>1039</v>
      </c>
      <c r="D96" s="7" t="s">
        <v>70</v>
      </c>
      <c r="E96" s="7" t="s">
        <v>33</v>
      </c>
      <c r="F96" s="7" t="s">
        <v>31</v>
      </c>
    </row>
    <row r="97" spans="3:6" ht="15.75" thickBot="1" x14ac:dyDescent="0.3">
      <c r="C97" s="7">
        <v>1040</v>
      </c>
      <c r="D97" s="7" t="s">
        <v>71</v>
      </c>
      <c r="E97" s="7" t="s">
        <v>36</v>
      </c>
      <c r="F97" s="7" t="s">
        <v>34</v>
      </c>
    </row>
    <row r="98" spans="3:6" ht="15.75" thickBot="1" x14ac:dyDescent="0.3">
      <c r="C98" s="7">
        <v>1041</v>
      </c>
      <c r="D98" s="7" t="s">
        <v>72</v>
      </c>
      <c r="E98" s="7" t="s">
        <v>24</v>
      </c>
      <c r="F98" s="7" t="s">
        <v>25</v>
      </c>
    </row>
    <row r="99" spans="3:6" ht="15.75" thickBot="1" x14ac:dyDescent="0.3">
      <c r="C99" s="7">
        <v>1042</v>
      </c>
      <c r="D99" s="7" t="s">
        <v>73</v>
      </c>
      <c r="E99" s="7" t="s">
        <v>27</v>
      </c>
      <c r="F99" s="7" t="s">
        <v>28</v>
      </c>
    </row>
    <row r="100" spans="3:6" ht="15.75" thickBot="1" x14ac:dyDescent="0.3">
      <c r="C100" s="7">
        <v>1043</v>
      </c>
      <c r="D100" s="7" t="s">
        <v>74</v>
      </c>
      <c r="E100" s="7" t="s">
        <v>30</v>
      </c>
      <c r="F100" s="7" t="s">
        <v>31</v>
      </c>
    </row>
    <row r="101" spans="3:6" ht="15.75" thickBot="1" x14ac:dyDescent="0.3">
      <c r="C101" s="7">
        <v>1044</v>
      </c>
      <c r="D101" s="7" t="s">
        <v>75</v>
      </c>
      <c r="E101" s="7" t="s">
        <v>33</v>
      </c>
      <c r="F101" s="7" t="s">
        <v>34</v>
      </c>
    </row>
    <row r="102" spans="3:6" ht="15.75" thickBot="1" x14ac:dyDescent="0.3">
      <c r="C102" s="7">
        <v>1045</v>
      </c>
      <c r="D102" s="7" t="s">
        <v>76</v>
      </c>
      <c r="E102" s="7" t="s">
        <v>36</v>
      </c>
      <c r="F102" s="7" t="s">
        <v>25</v>
      </c>
    </row>
    <row r="103" spans="3:6" ht="15.75" thickBot="1" x14ac:dyDescent="0.3">
      <c r="C103" s="7">
        <v>1046</v>
      </c>
      <c r="D103" s="7" t="s">
        <v>77</v>
      </c>
      <c r="E103" s="7" t="s">
        <v>24</v>
      </c>
      <c r="F103" s="7" t="s">
        <v>28</v>
      </c>
    </row>
    <row r="104" spans="3:6" ht="15.75" thickBot="1" x14ac:dyDescent="0.3">
      <c r="C104" s="7">
        <v>1047</v>
      </c>
      <c r="D104" s="7" t="s">
        <v>78</v>
      </c>
      <c r="E104" s="7" t="s">
        <v>27</v>
      </c>
      <c r="F104" s="7" t="s">
        <v>31</v>
      </c>
    </row>
    <row r="105" spans="3:6" ht="15.75" thickBot="1" x14ac:dyDescent="0.3">
      <c r="C105" s="7">
        <v>1048</v>
      </c>
      <c r="D105" s="7" t="s">
        <v>79</v>
      </c>
      <c r="E105" s="7" t="s">
        <v>30</v>
      </c>
      <c r="F105" s="7" t="s">
        <v>34</v>
      </c>
    </row>
    <row r="106" spans="3:6" ht="15.75" thickBot="1" x14ac:dyDescent="0.3">
      <c r="C106" s="7">
        <v>1049</v>
      </c>
      <c r="D106" s="7" t="s">
        <v>80</v>
      </c>
      <c r="E106" s="7" t="s">
        <v>33</v>
      </c>
      <c r="F106" s="7" t="s">
        <v>25</v>
      </c>
    </row>
    <row r="107" spans="3:6" ht="15.75" thickBot="1" x14ac:dyDescent="0.3">
      <c r="C107" s="7">
        <v>1050</v>
      </c>
      <c r="D107" s="7" t="s">
        <v>81</v>
      </c>
      <c r="E107" s="7" t="s">
        <v>36</v>
      </c>
      <c r="F107" s="7" t="s">
        <v>28</v>
      </c>
    </row>
  </sheetData>
  <dataValidations count="2">
    <dataValidation type="custom" allowBlank="1" showInputMessage="1" showErrorMessage="1" sqref="Q8:Q12 N12:N25" xr:uid="{961D663A-9B04-4B5D-9C6E-EF92FE0178C5}">
      <formula1>"The Alchemist,Rich Dad Poor Dad,Atomic Habits,Ikigai,Think and Grow Rich"</formula1>
    </dataValidation>
    <dataValidation type="custom" allowBlank="1" showInputMessage="1" showErrorMessage="1" sqref="N4:N45" xr:uid="{8BF1D575-781C-42ED-943C-3DBBA6869CD6}">
      <formula1>N4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16C4-F14F-4C8E-A769-DB4990D9A372}">
  <dimension ref="A1:C7"/>
  <sheetViews>
    <sheetView workbookViewId="0">
      <selection activeCell="D13" sqref="D13"/>
    </sheetView>
  </sheetViews>
  <sheetFormatPr defaultRowHeight="15" x14ac:dyDescent="0.25"/>
  <cols>
    <col min="1" max="1" width="19.140625" bestFit="1" customWidth="1"/>
    <col min="2" max="2" width="22.28515625" bestFit="1" customWidth="1"/>
  </cols>
  <sheetData>
    <row r="1" spans="1:3" x14ac:dyDescent="0.25">
      <c r="A1" s="3" t="s">
        <v>14</v>
      </c>
      <c r="B1" s="3" t="s">
        <v>15</v>
      </c>
      <c r="C1" s="2" t="s">
        <v>18</v>
      </c>
    </row>
    <row r="2" spans="1:3" x14ac:dyDescent="0.25">
      <c r="A2" s="4" t="s">
        <v>0</v>
      </c>
      <c r="B2" s="4" t="s">
        <v>1</v>
      </c>
      <c r="C2" s="1">
        <v>300</v>
      </c>
    </row>
    <row r="3" spans="1:3" x14ac:dyDescent="0.25">
      <c r="A3" s="4" t="s">
        <v>2</v>
      </c>
      <c r="B3" s="4" t="s">
        <v>3</v>
      </c>
      <c r="C3" s="1">
        <v>350</v>
      </c>
    </row>
    <row r="4" spans="1:3" x14ac:dyDescent="0.25">
      <c r="A4" s="4" t="s">
        <v>6</v>
      </c>
      <c r="B4" s="4" t="s">
        <v>7</v>
      </c>
      <c r="C4" s="1">
        <v>500</v>
      </c>
    </row>
    <row r="5" spans="1:3" x14ac:dyDescent="0.25">
      <c r="A5" s="4" t="s">
        <v>8</v>
      </c>
      <c r="B5" s="4" t="s">
        <v>9</v>
      </c>
      <c r="C5" s="1">
        <v>400</v>
      </c>
    </row>
    <row r="6" spans="1:3" x14ac:dyDescent="0.25">
      <c r="A6" s="4" t="s">
        <v>4</v>
      </c>
      <c r="B6" s="4" t="s">
        <v>5</v>
      </c>
      <c r="C6" s="1">
        <v>450</v>
      </c>
    </row>
    <row r="7" spans="1:3" x14ac:dyDescent="0.25">
      <c r="C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2026-03-18T12:01:49Z</dcterms:created>
  <dcterms:modified xsi:type="dcterms:W3CDTF">2026-04-06T11:47:49Z</dcterms:modified>
</cp:coreProperties>
</file>