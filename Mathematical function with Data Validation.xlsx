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ki DA\Excel-Data-Analysis\"/>
    </mc:Choice>
  </mc:AlternateContent>
  <xr:revisionPtr revIDLastSave="0" documentId="13_ncr:1_{ABAF0F56-4BF9-4E5D-8B3E-9CA1CAEA5F51}" xr6:coauthVersionLast="36" xr6:coauthVersionMax="36" xr10:uidLastSave="{00000000-0000-0000-0000-000000000000}"/>
  <bookViews>
    <workbookView xWindow="0" yWindow="0" windowWidth="20490" windowHeight="7005" xr2:uid="{CED813B1-E95D-4CF6-9729-FB7C90DAA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1" l="1"/>
  <c r="N10" i="1"/>
  <c r="M11" i="1"/>
  <c r="M10" i="1"/>
  <c r="N9" i="1"/>
  <c r="M9" i="1"/>
  <c r="N8" i="1"/>
  <c r="M8" i="1"/>
  <c r="N7" i="1"/>
  <c r="M7" i="1"/>
  <c r="N6" i="1"/>
  <c r="N5" i="1"/>
  <c r="M6" i="1"/>
  <c r="M5" i="1"/>
  <c r="N4" i="1"/>
  <c r="M4" i="1"/>
  <c r="L11" i="1"/>
  <c r="L10" i="1"/>
  <c r="L6" i="1"/>
  <c r="L5" i="1"/>
  <c r="L4" i="1"/>
  <c r="L7" i="1" s="1"/>
  <c r="L9" i="1" l="1"/>
  <c r="L8" i="1"/>
  <c r="I52" i="1"/>
  <c r="H52" i="1"/>
</calcChain>
</file>

<file path=xl/sharedStrings.xml><?xml version="1.0" encoding="utf-8"?>
<sst xmlns="http://schemas.openxmlformats.org/spreadsheetml/2006/main" count="71" uniqueCount="27">
  <si>
    <t>ID</t>
  </si>
  <si>
    <t>Quantity</t>
  </si>
  <si>
    <t>Price</t>
  </si>
  <si>
    <t>Discount (%)</t>
  </si>
  <si>
    <t>Tax (%)</t>
  </si>
  <si>
    <t>Profit</t>
  </si>
  <si>
    <t>Sales</t>
  </si>
  <si>
    <t>Cost</t>
  </si>
  <si>
    <t>Avg</t>
  </si>
  <si>
    <t xml:space="preserve">Max </t>
  </si>
  <si>
    <t>Min</t>
  </si>
  <si>
    <t>Round</t>
  </si>
  <si>
    <t>Round-Up</t>
  </si>
  <si>
    <t>Round-Down</t>
  </si>
  <si>
    <t>Product</t>
  </si>
  <si>
    <t>Count</t>
  </si>
  <si>
    <t>CountA</t>
  </si>
  <si>
    <t>Bread</t>
  </si>
  <si>
    <t>Wheat Flour</t>
  </si>
  <si>
    <t xml:space="preserve">Biscuits </t>
  </si>
  <si>
    <t>Cold Drink</t>
  </si>
  <si>
    <t>Rice Bag</t>
  </si>
  <si>
    <t xml:space="preserve">Tea </t>
  </si>
  <si>
    <t>Powder Soap</t>
  </si>
  <si>
    <t xml:space="preserve">Milk Pack </t>
  </si>
  <si>
    <t>Cooking Oil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</si>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</sst>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BE68-F529-4B3D-B4B4-D99D3134083B}">
  <dimension ref="A1:N52"/>
  <sheetViews>
    <sheetView tabSelected="1" zoomScaleNormal="100" workbookViewId="0">
      <selection activeCell="N49" sqref="N49"/>
    </sheetView>
  </sheetViews>
  <sheetFormatPr defaultRowHeight="15" x14ac:dyDescent="0.25"/>
  <cols>
    <col min="2" max="2" width="12.5703125" bestFit="1" customWidth="1"/>
    <col min="5" max="5" width="12.140625" bestFit="1" customWidth="1"/>
    <col min="11" max="11" width="12.5703125" bestFit="1" customWidth="1"/>
  </cols>
  <sheetData>
    <row r="1" spans="1:14" x14ac:dyDescent="0.2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6</v>
      </c>
      <c r="I1" s="1" t="s">
        <v>5</v>
      </c>
    </row>
    <row r="2" spans="1:14" x14ac:dyDescent="0.25">
      <c r="A2" s="2">
        <v>1</v>
      </c>
      <c r="B2" t="s">
        <v>17</v>
      </c>
      <c r="C2" s="2">
        <v>10</v>
      </c>
      <c r="D2" s="2">
        <v>50</v>
      </c>
      <c r="E2" s="2">
        <v>5</v>
      </c>
      <c r="F2" s="2">
        <v>18</v>
      </c>
      <c r="G2" s="2">
        <v>300</v>
      </c>
      <c r="H2" s="2">
        <v>500</v>
      </c>
      <c r="I2" s="2">
        <v>200</v>
      </c>
    </row>
    <row r="3" spans="1:14" x14ac:dyDescent="0.25">
      <c r="A3" s="2">
        <v>2</v>
      </c>
      <c r="B3" t="s">
        <v>19</v>
      </c>
      <c r="C3" s="2">
        <v>15</v>
      </c>
      <c r="D3" s="2">
        <v>30</v>
      </c>
      <c r="E3" s="2">
        <v>10</v>
      </c>
      <c r="F3" s="2">
        <v>12</v>
      </c>
      <c r="G3" s="2">
        <v>300</v>
      </c>
      <c r="H3" s="2">
        <v>450</v>
      </c>
      <c r="I3" s="2">
        <v>150</v>
      </c>
      <c r="L3" s="1" t="s">
        <v>7</v>
      </c>
      <c r="M3" s="1" t="s">
        <v>6</v>
      </c>
      <c r="N3" s="1" t="s">
        <v>5</v>
      </c>
    </row>
    <row r="4" spans="1:14" x14ac:dyDescent="0.25">
      <c r="A4" s="2">
        <v>3</v>
      </c>
      <c r="B4" t="s">
        <v>18</v>
      </c>
      <c r="C4" s="2">
        <v>8</v>
      </c>
      <c r="D4" s="2">
        <v>100</v>
      </c>
      <c r="E4" s="2">
        <v>8</v>
      </c>
      <c r="F4" s="2">
        <v>18</v>
      </c>
      <c r="G4" s="2">
        <v>500</v>
      </c>
      <c r="H4" s="2">
        <v>800</v>
      </c>
      <c r="I4" s="2">
        <v>300</v>
      </c>
      <c r="K4" s="1" t="s">
        <v>8</v>
      </c>
      <c r="L4">
        <f>AVERAGE(G2:G51)</f>
        <v>513.12</v>
      </c>
      <c r="M4">
        <f>AVERAGE(H2:H51)</f>
        <v>733.92</v>
      </c>
      <c r="N4">
        <f>AVERAGE(I2:I51)</f>
        <v>220.8</v>
      </c>
    </row>
    <row r="5" spans="1:14" x14ac:dyDescent="0.25">
      <c r="A5" s="2">
        <v>4</v>
      </c>
      <c r="B5" t="s">
        <v>20</v>
      </c>
      <c r="C5" s="2">
        <v>20</v>
      </c>
      <c r="D5" s="2">
        <v>25</v>
      </c>
      <c r="E5" s="2">
        <v>12</v>
      </c>
      <c r="F5" s="2">
        <v>5</v>
      </c>
      <c r="G5" s="2">
        <v>400</v>
      </c>
      <c r="H5" s="2">
        <v>500</v>
      </c>
      <c r="I5" s="2">
        <v>100</v>
      </c>
      <c r="K5" s="1" t="s">
        <v>9</v>
      </c>
      <c r="L5">
        <f>MAX(G2:G51)</f>
        <v>820</v>
      </c>
      <c r="M5">
        <f>MAX(H2:H51)</f>
        <v>1120</v>
      </c>
      <c r="N5">
        <f>MAX(I2:I51)</f>
        <v>450</v>
      </c>
    </row>
    <row r="6" spans="1:14" x14ac:dyDescent="0.25">
      <c r="A6" s="2">
        <v>5</v>
      </c>
      <c r="B6" t="s">
        <v>21</v>
      </c>
      <c r="C6" s="2">
        <v>5</v>
      </c>
      <c r="D6" s="2">
        <v>200</v>
      </c>
      <c r="E6" s="2">
        <v>15</v>
      </c>
      <c r="F6" s="2">
        <v>18</v>
      </c>
      <c r="G6" s="2">
        <v>600</v>
      </c>
      <c r="H6" s="2">
        <v>1000</v>
      </c>
      <c r="I6" s="2">
        <v>400</v>
      </c>
      <c r="K6" s="1" t="s">
        <v>10</v>
      </c>
      <c r="L6">
        <f>MIN(G2:G51)</f>
        <v>300</v>
      </c>
      <c r="M6">
        <f>MIN(H2:H51)</f>
        <v>450</v>
      </c>
      <c r="N6">
        <f>MIN(I2:I51)</f>
        <v>90</v>
      </c>
    </row>
    <row r="7" spans="1:14" x14ac:dyDescent="0.25">
      <c r="A7" s="2">
        <v>6</v>
      </c>
      <c r="B7" t="s">
        <v>18</v>
      </c>
      <c r="C7" s="2">
        <v>12</v>
      </c>
      <c r="D7" s="2">
        <v>60</v>
      </c>
      <c r="E7" s="2">
        <v>6</v>
      </c>
      <c r="F7" s="2">
        <v>12</v>
      </c>
      <c r="G7" s="2">
        <v>500</v>
      </c>
      <c r="H7" s="2">
        <v>720</v>
      </c>
      <c r="I7" s="2">
        <v>220</v>
      </c>
      <c r="K7" s="1" t="s">
        <v>11</v>
      </c>
      <c r="L7">
        <f>ROUND(L4,4)</f>
        <v>513.12</v>
      </c>
      <c r="M7">
        <f>ROUND(M4,5)</f>
        <v>733.92</v>
      </c>
      <c r="N7">
        <f>ROUND(N4,5)</f>
        <v>220.8</v>
      </c>
    </row>
    <row r="8" spans="1:14" x14ac:dyDescent="0.25">
      <c r="A8" s="2">
        <v>7</v>
      </c>
      <c r="B8" t="s">
        <v>22</v>
      </c>
      <c r="C8" s="2">
        <v>18</v>
      </c>
      <c r="D8" s="2">
        <v>40</v>
      </c>
      <c r="E8" s="2">
        <v>9</v>
      </c>
      <c r="F8" s="2">
        <v>18</v>
      </c>
      <c r="G8" s="2">
        <v>470</v>
      </c>
      <c r="H8" s="2">
        <v>720</v>
      </c>
      <c r="I8" s="2">
        <v>250</v>
      </c>
      <c r="K8" s="1" t="s">
        <v>12</v>
      </c>
      <c r="L8">
        <f>ROUNDUP(L7,0)</f>
        <v>514</v>
      </c>
      <c r="M8">
        <f>ROUNDUP(M7,0)</f>
        <v>734</v>
      </c>
      <c r="N8">
        <f>ROUNDUP(N7,0)</f>
        <v>221</v>
      </c>
    </row>
    <row r="9" spans="1:14" x14ac:dyDescent="0.25">
      <c r="A9" s="2">
        <v>8</v>
      </c>
      <c r="B9" t="s">
        <v>20</v>
      </c>
      <c r="C9" s="2">
        <v>25</v>
      </c>
      <c r="D9" s="2">
        <v>20</v>
      </c>
      <c r="E9" s="2">
        <v>5</v>
      </c>
      <c r="F9" s="2">
        <v>5</v>
      </c>
      <c r="G9" s="2">
        <v>410</v>
      </c>
      <c r="H9" s="2">
        <v>500</v>
      </c>
      <c r="I9" s="2">
        <v>90</v>
      </c>
      <c r="K9" s="1" t="s">
        <v>13</v>
      </c>
      <c r="L9">
        <f>ROUNDDOWN(L7,0)</f>
        <v>513</v>
      </c>
      <c r="M9">
        <f>ROUNDDOWN(M7,0)</f>
        <v>733</v>
      </c>
      <c r="N9">
        <f>ROUNDDOWN(N7,0)</f>
        <v>220</v>
      </c>
    </row>
    <row r="10" spans="1:14" x14ac:dyDescent="0.25">
      <c r="A10" s="2">
        <v>9</v>
      </c>
      <c r="B10" t="s">
        <v>23</v>
      </c>
      <c r="C10" s="2">
        <v>30</v>
      </c>
      <c r="D10" s="2">
        <v>15</v>
      </c>
      <c r="E10" s="2">
        <v>7</v>
      </c>
      <c r="F10" s="2">
        <v>12</v>
      </c>
      <c r="G10" s="2">
        <v>330</v>
      </c>
      <c r="H10" s="2">
        <v>450</v>
      </c>
      <c r="I10" s="2">
        <v>120</v>
      </c>
      <c r="K10" s="1" t="s">
        <v>15</v>
      </c>
      <c r="L10">
        <f>COUNT(G2:G51)</f>
        <v>50</v>
      </c>
      <c r="M10">
        <f>COUNT(H2:H51)</f>
        <v>50</v>
      </c>
      <c r="N10">
        <f>COUNT(I2:I51)</f>
        <v>50</v>
      </c>
    </row>
    <row r="11" spans="1:14" x14ac:dyDescent="0.25">
      <c r="A11" s="2">
        <v>10</v>
      </c>
      <c r="B11" t="s">
        <v>17</v>
      </c>
      <c r="C11" s="2">
        <v>7</v>
      </c>
      <c r="D11" s="2">
        <v>150</v>
      </c>
      <c r="E11" s="2">
        <v>10</v>
      </c>
      <c r="F11" s="2">
        <v>18</v>
      </c>
      <c r="G11" s="2">
        <v>700</v>
      </c>
      <c r="H11" s="2">
        <v>1050</v>
      </c>
      <c r="I11" s="2">
        <v>350</v>
      </c>
      <c r="K11" s="1" t="s">
        <v>16</v>
      </c>
      <c r="L11">
        <f>COUNTA(G2:G51)</f>
        <v>50</v>
      </c>
      <c r="M11">
        <f>COUNTA(H2:H51)</f>
        <v>50</v>
      </c>
      <c r="N11">
        <f>COUNTA(I2:I51)</f>
        <v>50</v>
      </c>
    </row>
    <row r="12" spans="1:14" x14ac:dyDescent="0.25">
      <c r="A12" s="2">
        <v>11</v>
      </c>
      <c r="B12" t="s">
        <v>24</v>
      </c>
      <c r="C12" s="2">
        <v>14</v>
      </c>
      <c r="D12" s="2">
        <v>55</v>
      </c>
      <c r="E12" s="2">
        <v>8</v>
      </c>
      <c r="F12" s="2">
        <v>12</v>
      </c>
      <c r="G12" s="2">
        <v>560</v>
      </c>
      <c r="H12" s="2">
        <v>770</v>
      </c>
      <c r="I12" s="2">
        <v>210</v>
      </c>
    </row>
    <row r="13" spans="1:14" x14ac:dyDescent="0.25">
      <c r="A13" s="2">
        <v>12</v>
      </c>
      <c r="B13" t="s">
        <v>21</v>
      </c>
      <c r="C13" s="2">
        <v>9</v>
      </c>
      <c r="D13" s="2">
        <v>90</v>
      </c>
      <c r="E13" s="2">
        <v>6</v>
      </c>
      <c r="F13" s="2">
        <v>18</v>
      </c>
      <c r="G13" s="2">
        <v>530</v>
      </c>
      <c r="H13" s="2">
        <v>810</v>
      </c>
      <c r="I13" s="2">
        <v>280</v>
      </c>
    </row>
    <row r="14" spans="1:14" x14ac:dyDescent="0.25">
      <c r="A14" s="2">
        <v>13</v>
      </c>
      <c r="B14" t="s">
        <v>18</v>
      </c>
      <c r="C14" s="2">
        <v>16</v>
      </c>
      <c r="D14" s="2">
        <v>35</v>
      </c>
      <c r="E14" s="2">
        <v>10</v>
      </c>
      <c r="F14" s="2">
        <v>5</v>
      </c>
      <c r="G14" s="2">
        <v>410</v>
      </c>
      <c r="H14" s="2">
        <v>560</v>
      </c>
      <c r="I14" s="2">
        <v>150</v>
      </c>
      <c r="K14" s="2"/>
    </row>
    <row r="15" spans="1:14" x14ac:dyDescent="0.25">
      <c r="A15" s="2">
        <v>14</v>
      </c>
      <c r="B15" t="s">
        <v>19</v>
      </c>
      <c r="C15" s="2">
        <v>22</v>
      </c>
      <c r="D15" s="2">
        <v>28</v>
      </c>
      <c r="E15" s="2">
        <v>12</v>
      </c>
      <c r="F15" s="2">
        <v>12</v>
      </c>
      <c r="G15" s="2">
        <v>436</v>
      </c>
      <c r="H15" s="2">
        <v>616</v>
      </c>
      <c r="I15" s="2">
        <v>180</v>
      </c>
      <c r="K15" s="2"/>
    </row>
    <row r="16" spans="1:14" x14ac:dyDescent="0.25">
      <c r="A16" s="2">
        <v>15</v>
      </c>
      <c r="B16" t="s">
        <v>20</v>
      </c>
      <c r="C16" s="2">
        <v>6</v>
      </c>
      <c r="D16" s="2">
        <v>180</v>
      </c>
      <c r="E16" s="2">
        <v>15</v>
      </c>
      <c r="F16" s="2">
        <v>18</v>
      </c>
      <c r="G16" s="2">
        <v>660</v>
      </c>
      <c r="H16" s="2">
        <v>1080</v>
      </c>
      <c r="I16" s="2">
        <v>420</v>
      </c>
      <c r="K16" s="2"/>
    </row>
    <row r="17" spans="1:9" x14ac:dyDescent="0.25">
      <c r="A17" s="2">
        <v>16</v>
      </c>
      <c r="B17" t="s">
        <v>23</v>
      </c>
      <c r="C17" s="2">
        <v>11</v>
      </c>
      <c r="D17" s="2">
        <v>65</v>
      </c>
      <c r="E17" s="2">
        <v>7</v>
      </c>
      <c r="F17" s="2">
        <v>5</v>
      </c>
      <c r="G17" s="2">
        <v>525</v>
      </c>
      <c r="H17" s="2">
        <v>715</v>
      </c>
      <c r="I17" s="2">
        <v>190</v>
      </c>
    </row>
    <row r="18" spans="1:9" x14ac:dyDescent="0.25">
      <c r="A18" s="2">
        <v>17</v>
      </c>
      <c r="B18" t="s">
        <v>17</v>
      </c>
      <c r="C18" s="2">
        <v>19</v>
      </c>
      <c r="D18" s="2">
        <v>45</v>
      </c>
      <c r="E18" s="2">
        <v>9</v>
      </c>
      <c r="F18" s="2">
        <v>12</v>
      </c>
      <c r="G18" s="2">
        <v>595</v>
      </c>
      <c r="H18" s="2">
        <v>855</v>
      </c>
      <c r="I18" s="2">
        <v>260</v>
      </c>
    </row>
    <row r="19" spans="1:9" x14ac:dyDescent="0.25">
      <c r="A19" s="2">
        <v>18</v>
      </c>
      <c r="B19" t="s">
        <v>24</v>
      </c>
      <c r="C19" s="2">
        <v>24</v>
      </c>
      <c r="D19" s="2">
        <v>22</v>
      </c>
      <c r="E19" s="2">
        <v>5</v>
      </c>
      <c r="F19" s="2">
        <v>18</v>
      </c>
      <c r="G19" s="2">
        <v>418</v>
      </c>
      <c r="H19" s="2">
        <v>528</v>
      </c>
      <c r="I19" s="2">
        <v>110</v>
      </c>
    </row>
    <row r="20" spans="1:9" x14ac:dyDescent="0.25">
      <c r="A20" s="2">
        <v>19</v>
      </c>
      <c r="B20" t="s">
        <v>21</v>
      </c>
      <c r="C20" s="2">
        <v>28</v>
      </c>
      <c r="D20" s="2">
        <v>18</v>
      </c>
      <c r="E20" s="2">
        <v>6</v>
      </c>
      <c r="F20" s="2">
        <v>5</v>
      </c>
      <c r="G20" s="2">
        <v>374</v>
      </c>
      <c r="H20" s="2">
        <v>504</v>
      </c>
      <c r="I20" s="2">
        <v>130</v>
      </c>
    </row>
    <row r="21" spans="1:9" x14ac:dyDescent="0.25">
      <c r="A21" s="2">
        <v>20</v>
      </c>
      <c r="B21" t="s">
        <v>18</v>
      </c>
      <c r="C21" s="2">
        <v>13</v>
      </c>
      <c r="D21" s="2">
        <v>75</v>
      </c>
      <c r="E21" s="2">
        <v>8</v>
      </c>
      <c r="F21" s="2">
        <v>12</v>
      </c>
      <c r="G21" s="2">
        <v>675</v>
      </c>
      <c r="H21" s="2">
        <v>975</v>
      </c>
      <c r="I21" s="2">
        <v>300</v>
      </c>
    </row>
    <row r="22" spans="1:9" x14ac:dyDescent="0.25">
      <c r="A22" s="2">
        <v>21</v>
      </c>
      <c r="B22" t="s">
        <v>19</v>
      </c>
      <c r="C22" s="2">
        <v>17</v>
      </c>
      <c r="D22" s="2">
        <v>48</v>
      </c>
      <c r="E22" s="2">
        <v>10</v>
      </c>
      <c r="F22" s="2">
        <v>18</v>
      </c>
      <c r="G22" s="2">
        <v>576</v>
      </c>
      <c r="H22" s="2">
        <v>816</v>
      </c>
      <c r="I22" s="2">
        <v>240</v>
      </c>
    </row>
    <row r="23" spans="1:9" x14ac:dyDescent="0.25">
      <c r="A23" s="2">
        <v>22</v>
      </c>
      <c r="B23" t="s">
        <v>20</v>
      </c>
      <c r="C23" s="2">
        <v>21</v>
      </c>
      <c r="D23" s="2">
        <v>32</v>
      </c>
      <c r="E23" s="2">
        <v>12</v>
      </c>
      <c r="F23" s="2">
        <v>5</v>
      </c>
      <c r="G23" s="2">
        <v>502</v>
      </c>
      <c r="H23" s="2">
        <v>672</v>
      </c>
      <c r="I23" s="2">
        <v>170</v>
      </c>
    </row>
    <row r="24" spans="1:9" x14ac:dyDescent="0.25">
      <c r="A24" s="2">
        <v>23</v>
      </c>
      <c r="B24" t="s">
        <v>20</v>
      </c>
      <c r="C24" s="2">
        <v>26</v>
      </c>
      <c r="D24" s="2">
        <v>27</v>
      </c>
      <c r="E24" s="2">
        <v>7</v>
      </c>
      <c r="F24" s="2">
        <v>12</v>
      </c>
      <c r="G24" s="2">
        <v>542</v>
      </c>
      <c r="H24" s="2">
        <v>702</v>
      </c>
      <c r="I24" s="2">
        <v>160</v>
      </c>
    </row>
    <row r="25" spans="1:9" x14ac:dyDescent="0.25">
      <c r="A25" s="2">
        <v>24</v>
      </c>
      <c r="B25" t="s">
        <v>23</v>
      </c>
      <c r="C25" s="2">
        <v>29</v>
      </c>
      <c r="D25" s="2">
        <v>19</v>
      </c>
      <c r="E25" s="2">
        <v>5</v>
      </c>
      <c r="F25" s="2">
        <v>18</v>
      </c>
      <c r="G25" s="2">
        <v>411</v>
      </c>
      <c r="H25" s="2">
        <v>551</v>
      </c>
      <c r="I25" s="2">
        <v>140</v>
      </c>
    </row>
    <row r="26" spans="1:9" x14ac:dyDescent="0.25">
      <c r="A26" s="2">
        <v>25</v>
      </c>
      <c r="B26" t="s">
        <v>21</v>
      </c>
      <c r="C26" s="2">
        <v>4</v>
      </c>
      <c r="D26" s="2">
        <v>220</v>
      </c>
      <c r="E26" s="2">
        <v>15</v>
      </c>
      <c r="F26" s="2">
        <v>12</v>
      </c>
      <c r="G26" s="2">
        <v>430</v>
      </c>
      <c r="H26" s="2">
        <v>880</v>
      </c>
      <c r="I26" s="2">
        <v>450</v>
      </c>
    </row>
    <row r="27" spans="1:9" x14ac:dyDescent="0.25">
      <c r="A27" s="2">
        <v>26</v>
      </c>
      <c r="B27" t="s">
        <v>18</v>
      </c>
      <c r="C27" s="2">
        <v>10</v>
      </c>
      <c r="D27" s="2">
        <v>70</v>
      </c>
      <c r="E27" s="2">
        <v>6</v>
      </c>
      <c r="F27" s="2">
        <v>5</v>
      </c>
      <c r="G27" s="2">
        <v>490</v>
      </c>
      <c r="H27" s="2">
        <v>700</v>
      </c>
      <c r="I27" s="2">
        <v>210</v>
      </c>
    </row>
    <row r="28" spans="1:9" x14ac:dyDescent="0.25">
      <c r="A28" s="2">
        <v>27</v>
      </c>
      <c r="B28" t="s">
        <v>22</v>
      </c>
      <c r="C28" s="2">
        <v>15</v>
      </c>
      <c r="D28" s="2">
        <v>52</v>
      </c>
      <c r="E28" s="2">
        <v>9</v>
      </c>
      <c r="F28" s="2">
        <v>18</v>
      </c>
      <c r="G28" s="2">
        <v>550</v>
      </c>
      <c r="H28" s="2">
        <v>780</v>
      </c>
      <c r="I28" s="2">
        <v>230</v>
      </c>
    </row>
    <row r="29" spans="1:9" x14ac:dyDescent="0.25">
      <c r="A29" s="2">
        <v>28</v>
      </c>
      <c r="B29" t="s">
        <v>20</v>
      </c>
      <c r="C29" s="2">
        <v>18</v>
      </c>
      <c r="D29" s="2">
        <v>44</v>
      </c>
      <c r="E29" s="2">
        <v>8</v>
      </c>
      <c r="F29" s="2">
        <v>12</v>
      </c>
      <c r="G29" s="2">
        <v>542</v>
      </c>
      <c r="H29" s="2">
        <v>792</v>
      </c>
      <c r="I29" s="2">
        <v>250</v>
      </c>
    </row>
    <row r="30" spans="1:9" x14ac:dyDescent="0.25">
      <c r="A30" s="2">
        <v>29</v>
      </c>
      <c r="B30" t="s">
        <v>23</v>
      </c>
      <c r="C30" s="2">
        <v>20</v>
      </c>
      <c r="D30" s="2">
        <v>38</v>
      </c>
      <c r="E30" s="2">
        <v>10</v>
      </c>
      <c r="F30" s="2">
        <v>5</v>
      </c>
      <c r="G30" s="2">
        <v>560</v>
      </c>
      <c r="H30" s="2">
        <v>760</v>
      </c>
      <c r="I30" s="2">
        <v>200</v>
      </c>
    </row>
    <row r="31" spans="1:9" x14ac:dyDescent="0.25">
      <c r="A31" s="2">
        <v>30</v>
      </c>
      <c r="B31" t="s">
        <v>17</v>
      </c>
      <c r="C31" s="2">
        <v>23</v>
      </c>
      <c r="D31" s="2">
        <v>29</v>
      </c>
      <c r="E31" s="2">
        <v>12</v>
      </c>
      <c r="F31" s="2">
        <v>18</v>
      </c>
      <c r="G31" s="2">
        <v>477</v>
      </c>
      <c r="H31" s="2">
        <v>667</v>
      </c>
      <c r="I31" s="2">
        <v>190</v>
      </c>
    </row>
    <row r="32" spans="1:9" x14ac:dyDescent="0.25">
      <c r="A32" s="2">
        <v>31</v>
      </c>
      <c r="B32" t="s">
        <v>19</v>
      </c>
      <c r="C32" s="2">
        <v>27</v>
      </c>
      <c r="D32" s="2">
        <v>24</v>
      </c>
      <c r="E32" s="2">
        <v>7</v>
      </c>
      <c r="F32" s="2">
        <v>12</v>
      </c>
      <c r="G32" s="2">
        <v>478</v>
      </c>
      <c r="H32" s="2">
        <v>648</v>
      </c>
      <c r="I32" s="2">
        <v>170</v>
      </c>
    </row>
    <row r="33" spans="1:9" x14ac:dyDescent="0.25">
      <c r="A33" s="2">
        <v>32</v>
      </c>
      <c r="B33" t="s">
        <v>20</v>
      </c>
      <c r="C33" s="2">
        <v>30</v>
      </c>
      <c r="D33" s="2">
        <v>21</v>
      </c>
      <c r="E33" s="2">
        <v>5</v>
      </c>
      <c r="F33" s="2">
        <v>5</v>
      </c>
      <c r="G33" s="2">
        <v>480</v>
      </c>
      <c r="H33" s="2">
        <v>630</v>
      </c>
      <c r="I33" s="2">
        <v>150</v>
      </c>
    </row>
    <row r="34" spans="1:9" x14ac:dyDescent="0.25">
      <c r="A34" s="2">
        <v>33</v>
      </c>
      <c r="B34" t="s">
        <v>23</v>
      </c>
      <c r="C34" s="2">
        <v>5</v>
      </c>
      <c r="D34" s="2">
        <v>210</v>
      </c>
      <c r="E34" s="2">
        <v>15</v>
      </c>
      <c r="F34" s="2">
        <v>18</v>
      </c>
      <c r="G34" s="2">
        <v>630</v>
      </c>
      <c r="H34" s="2">
        <v>1050</v>
      </c>
      <c r="I34" s="2">
        <v>420</v>
      </c>
    </row>
    <row r="35" spans="1:9" x14ac:dyDescent="0.25">
      <c r="A35" s="2">
        <v>34</v>
      </c>
      <c r="B35" t="s">
        <v>17</v>
      </c>
      <c r="C35" s="2">
        <v>8</v>
      </c>
      <c r="D35" s="2">
        <v>95</v>
      </c>
      <c r="E35" s="2">
        <v>6</v>
      </c>
      <c r="F35" s="2">
        <v>12</v>
      </c>
      <c r="G35" s="2">
        <v>500</v>
      </c>
      <c r="H35" s="2">
        <v>760</v>
      </c>
      <c r="I35" s="2">
        <v>260</v>
      </c>
    </row>
    <row r="36" spans="1:9" x14ac:dyDescent="0.25">
      <c r="A36" s="2">
        <v>35</v>
      </c>
      <c r="B36" t="s">
        <v>24</v>
      </c>
      <c r="C36" s="2">
        <v>12</v>
      </c>
      <c r="D36" s="2">
        <v>68</v>
      </c>
      <c r="E36" s="2">
        <v>8</v>
      </c>
      <c r="F36" s="2">
        <v>5</v>
      </c>
      <c r="G36" s="2">
        <v>596</v>
      </c>
      <c r="H36" s="2">
        <v>816</v>
      </c>
      <c r="I36" s="2">
        <v>220</v>
      </c>
    </row>
    <row r="37" spans="1:9" x14ac:dyDescent="0.25">
      <c r="A37" s="2">
        <v>36</v>
      </c>
      <c r="B37" t="s">
        <v>21</v>
      </c>
      <c r="C37" s="2">
        <v>16</v>
      </c>
      <c r="D37" s="2">
        <v>42</v>
      </c>
      <c r="E37" s="2">
        <v>10</v>
      </c>
      <c r="F37" s="2">
        <v>18</v>
      </c>
      <c r="G37" s="2">
        <v>462</v>
      </c>
      <c r="H37" s="2">
        <v>672</v>
      </c>
      <c r="I37" s="2">
        <v>210</v>
      </c>
    </row>
    <row r="38" spans="1:9" x14ac:dyDescent="0.25">
      <c r="A38" s="2">
        <v>37</v>
      </c>
      <c r="B38" t="s">
        <v>18</v>
      </c>
      <c r="C38" s="2">
        <v>19</v>
      </c>
      <c r="D38" s="2">
        <v>36</v>
      </c>
      <c r="E38" s="2">
        <v>12</v>
      </c>
      <c r="F38" s="2">
        <v>12</v>
      </c>
      <c r="G38" s="2">
        <v>484</v>
      </c>
      <c r="H38" s="2">
        <v>684</v>
      </c>
      <c r="I38" s="2">
        <v>200</v>
      </c>
    </row>
    <row r="39" spans="1:9" x14ac:dyDescent="0.25">
      <c r="A39" s="2">
        <v>38</v>
      </c>
      <c r="B39" t="s">
        <v>20</v>
      </c>
      <c r="C39" s="2">
        <v>22</v>
      </c>
      <c r="D39" s="2">
        <v>31</v>
      </c>
      <c r="E39" s="2">
        <v>7</v>
      </c>
      <c r="F39" s="2">
        <v>5</v>
      </c>
      <c r="G39" s="2">
        <v>502</v>
      </c>
      <c r="H39" s="2">
        <v>682</v>
      </c>
      <c r="I39" s="2">
        <v>180</v>
      </c>
    </row>
    <row r="40" spans="1:9" x14ac:dyDescent="0.25">
      <c r="A40" s="2">
        <v>39</v>
      </c>
      <c r="B40" t="s">
        <v>23</v>
      </c>
      <c r="C40" s="2">
        <v>25</v>
      </c>
      <c r="D40" s="2">
        <v>26</v>
      </c>
      <c r="E40" s="2">
        <v>5</v>
      </c>
      <c r="F40" s="2">
        <v>18</v>
      </c>
      <c r="G40" s="2">
        <v>490</v>
      </c>
      <c r="H40" s="2">
        <v>650</v>
      </c>
      <c r="I40" s="2">
        <v>160</v>
      </c>
    </row>
    <row r="41" spans="1:9" x14ac:dyDescent="0.25">
      <c r="A41" s="2">
        <v>40</v>
      </c>
      <c r="B41" t="s">
        <v>17</v>
      </c>
      <c r="C41" s="2">
        <v>28</v>
      </c>
      <c r="D41" s="2">
        <v>23</v>
      </c>
      <c r="E41" s="2">
        <v>6</v>
      </c>
      <c r="F41" s="2">
        <v>12</v>
      </c>
      <c r="G41" s="2">
        <v>494</v>
      </c>
      <c r="H41" s="2">
        <v>644</v>
      </c>
      <c r="I41" s="2">
        <v>150</v>
      </c>
    </row>
    <row r="42" spans="1:9" x14ac:dyDescent="0.25">
      <c r="A42" s="2">
        <v>41</v>
      </c>
      <c r="B42" t="s">
        <v>19</v>
      </c>
      <c r="C42" s="2">
        <v>6</v>
      </c>
      <c r="D42" s="2">
        <v>175</v>
      </c>
      <c r="E42" s="2">
        <v>15</v>
      </c>
      <c r="F42" s="2">
        <v>5</v>
      </c>
      <c r="G42" s="2">
        <v>700</v>
      </c>
      <c r="H42" s="2">
        <v>1050</v>
      </c>
      <c r="I42" s="2">
        <v>350</v>
      </c>
    </row>
    <row r="43" spans="1:9" x14ac:dyDescent="0.25">
      <c r="A43" s="2">
        <v>42</v>
      </c>
      <c r="B43" t="s">
        <v>20</v>
      </c>
      <c r="C43" s="2">
        <v>9</v>
      </c>
      <c r="D43" s="2">
        <v>88</v>
      </c>
      <c r="E43" s="2">
        <v>8</v>
      </c>
      <c r="F43" s="2">
        <v>18</v>
      </c>
      <c r="G43" s="2">
        <v>512</v>
      </c>
      <c r="H43" s="2">
        <v>792</v>
      </c>
      <c r="I43" s="2">
        <v>280</v>
      </c>
    </row>
    <row r="44" spans="1:9" x14ac:dyDescent="0.25">
      <c r="A44" s="2">
        <v>43</v>
      </c>
      <c r="B44" t="s">
        <v>18</v>
      </c>
      <c r="C44" s="2">
        <v>13</v>
      </c>
      <c r="D44" s="2">
        <v>62</v>
      </c>
      <c r="E44" s="2">
        <v>10</v>
      </c>
      <c r="F44" s="2">
        <v>12</v>
      </c>
      <c r="G44" s="2">
        <v>566</v>
      </c>
      <c r="H44" s="2">
        <v>806</v>
      </c>
      <c r="I44" s="2">
        <v>240</v>
      </c>
    </row>
    <row r="45" spans="1:9" x14ac:dyDescent="0.25">
      <c r="A45" s="2">
        <v>44</v>
      </c>
      <c r="B45" t="s">
        <v>23</v>
      </c>
      <c r="C45" s="2">
        <v>17</v>
      </c>
      <c r="D45" s="2">
        <v>47</v>
      </c>
      <c r="E45" s="2">
        <v>12</v>
      </c>
      <c r="F45" s="2">
        <v>5</v>
      </c>
      <c r="G45" s="2">
        <v>589</v>
      </c>
      <c r="H45" s="2">
        <v>799</v>
      </c>
      <c r="I45" s="2">
        <v>210</v>
      </c>
    </row>
    <row r="46" spans="1:9" x14ac:dyDescent="0.25">
      <c r="A46" s="2">
        <v>45</v>
      </c>
      <c r="B46" t="s">
        <v>17</v>
      </c>
      <c r="C46" s="2">
        <v>21</v>
      </c>
      <c r="D46" s="2">
        <v>33</v>
      </c>
      <c r="E46" s="2">
        <v>7</v>
      </c>
      <c r="F46" s="2">
        <v>18</v>
      </c>
      <c r="G46" s="2">
        <v>503</v>
      </c>
      <c r="H46" s="2">
        <v>693</v>
      </c>
      <c r="I46" s="2">
        <v>190</v>
      </c>
    </row>
    <row r="47" spans="1:9" x14ac:dyDescent="0.25">
      <c r="A47" s="2">
        <v>46</v>
      </c>
      <c r="B47" t="s">
        <v>19</v>
      </c>
      <c r="C47" s="2">
        <v>24</v>
      </c>
      <c r="D47" s="2">
        <v>28</v>
      </c>
      <c r="E47" s="2">
        <v>5</v>
      </c>
      <c r="F47" s="2">
        <v>12</v>
      </c>
      <c r="G47" s="2">
        <v>502</v>
      </c>
      <c r="H47" s="2">
        <v>672</v>
      </c>
      <c r="I47" s="2">
        <v>170</v>
      </c>
    </row>
    <row r="48" spans="1:9" x14ac:dyDescent="0.25">
      <c r="A48" s="2">
        <v>47</v>
      </c>
      <c r="B48" t="s">
        <v>23</v>
      </c>
      <c r="C48" s="2">
        <v>27</v>
      </c>
      <c r="D48" s="2">
        <v>25</v>
      </c>
      <c r="E48" s="2">
        <v>6</v>
      </c>
      <c r="F48" s="2">
        <v>5</v>
      </c>
      <c r="G48" s="2">
        <v>515</v>
      </c>
      <c r="H48" s="2">
        <v>675</v>
      </c>
      <c r="I48" s="2">
        <v>160</v>
      </c>
    </row>
    <row r="49" spans="1:10" x14ac:dyDescent="0.25">
      <c r="A49" s="2">
        <v>48</v>
      </c>
      <c r="B49" t="s">
        <v>17</v>
      </c>
      <c r="C49" s="2">
        <v>29</v>
      </c>
      <c r="D49" s="2">
        <v>22</v>
      </c>
      <c r="E49" s="2">
        <v>8</v>
      </c>
      <c r="F49" s="2">
        <v>18</v>
      </c>
      <c r="G49" s="2">
        <v>488</v>
      </c>
      <c r="H49" s="2">
        <v>638</v>
      </c>
      <c r="I49" s="2">
        <v>150</v>
      </c>
    </row>
    <row r="50" spans="1:10" x14ac:dyDescent="0.25">
      <c r="A50" s="2">
        <v>49</v>
      </c>
      <c r="B50" t="s">
        <v>22</v>
      </c>
      <c r="C50" s="2">
        <v>7</v>
      </c>
      <c r="D50" s="2">
        <v>160</v>
      </c>
      <c r="E50" s="2">
        <v>10</v>
      </c>
      <c r="F50" s="2">
        <v>12</v>
      </c>
      <c r="G50" s="2">
        <v>820</v>
      </c>
      <c r="H50" s="2">
        <v>1120</v>
      </c>
      <c r="I50" s="2">
        <v>300</v>
      </c>
    </row>
    <row r="51" spans="1:10" x14ac:dyDescent="0.25">
      <c r="A51" s="2">
        <v>50</v>
      </c>
      <c r="B51" t="s">
        <v>25</v>
      </c>
      <c r="C51" s="2">
        <v>11</v>
      </c>
      <c r="D51" s="2">
        <v>72</v>
      </c>
      <c r="E51" s="2">
        <v>12</v>
      </c>
      <c r="F51" s="2">
        <v>5</v>
      </c>
      <c r="G51" s="2">
        <v>572</v>
      </c>
      <c r="H51" s="2">
        <v>792</v>
      </c>
      <c r="I51" s="2">
        <v>220</v>
      </c>
    </row>
    <row r="52" spans="1:10" x14ac:dyDescent="0.25">
      <c r="A52" s="3"/>
      <c r="B52" s="3"/>
      <c r="C52" s="3"/>
      <c r="D52" s="3"/>
      <c r="E52" s="3"/>
      <c r="F52" s="3"/>
      <c r="G52" s="3"/>
      <c r="H52" s="4">
        <f>SUM(H2:H51)</f>
        <v>36696</v>
      </c>
      <c r="I52" s="4">
        <f>SUM(I2:I51)</f>
        <v>11040</v>
      </c>
      <c r="J52" t="s">
        <v>26</v>
      </c>
    </row>
  </sheetData>
  <dataValidations count="1">
    <dataValidation type="list" allowBlank="1" showInputMessage="1" showErrorMessage="1" sqref="B2:B51" xr:uid="{40A68483-5C26-4C99-9457-98E2D8B36686}">
      <formula1>"Rice Bag,Wheat Flour,Cooking Oil, Milk Pack ,Bread,Biscuits ,Cold Drink, Tea ,Powder Soap,"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2026-04-08T13:58:32Z</dcterms:created>
  <dcterms:modified xsi:type="dcterms:W3CDTF">2026-04-08T14:30:56Z</dcterms:modified>
</cp:coreProperties>
</file>