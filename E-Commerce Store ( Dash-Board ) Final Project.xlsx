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Zaki DA\M.D ZAKI\"/>
    </mc:Choice>
  </mc:AlternateContent>
  <xr:revisionPtr revIDLastSave="0" documentId="13_ncr:1_{A460AE38-DCAF-4C9B-83D6-011BF2F8695B}" xr6:coauthVersionLast="36" xr6:coauthVersionMax="36" xr10:uidLastSave="{00000000-0000-0000-0000-000000000000}"/>
  <bookViews>
    <workbookView xWindow="0" yWindow="0" windowWidth="20490" windowHeight="7005" activeTab="3" xr2:uid="{14B0D23D-F240-47E8-8177-FC14410B2B8F}"/>
  </bookViews>
  <sheets>
    <sheet name="Rough Work" sheetId="5" r:id="rId1"/>
    <sheet name="Data set" sheetId="2" r:id="rId2"/>
    <sheet name="Pivot Table" sheetId="3" r:id="rId3"/>
    <sheet name="Dash Board" sheetId="4" r:id="rId4"/>
  </sheets>
  <definedNames>
    <definedName name="ExternalData_1" localSheetId="1" hidden="1">'Data set'!$A$1:$N$201</definedName>
    <definedName name="Slicer_category">#N/A</definedName>
    <definedName name="Slicer_gender">#N/A</definedName>
    <definedName name="Slicer_payment_method">#N/A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3" l="1"/>
  <c r="F2" i="2" l="1"/>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B8" i="3"/>
  <c r="D8" i="3"/>
  <c r="C8" i="3"/>
  <c r="E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1660F8-F781-4938-BFF8-9D301A02C86B}" keepAlive="1" name="Query - ecommerce_store_dataset" description="Connection to the 'ecommerce_store_dataset' query in the workbook." type="5" refreshedVersion="6" background="1" saveData="1">
    <dbPr connection="Provider=Microsoft.Mashup.OleDb.1;Data Source=$Workbook$;Location=ecommerce_store_dataset;Extended Properties=&quot;&quot;" command="SELECT * FROM [ecommerce_store_dataset]"/>
  </connection>
</connections>
</file>

<file path=xl/sharedStrings.xml><?xml version="1.0" encoding="utf-8"?>
<sst xmlns="http://schemas.openxmlformats.org/spreadsheetml/2006/main" count="1541" uniqueCount="321">
  <si>
    <t>order_id</t>
  </si>
  <si>
    <t>product_name</t>
  </si>
  <si>
    <t>category</t>
  </si>
  <si>
    <t>price</t>
  </si>
  <si>
    <t>qty</t>
  </si>
  <si>
    <t>order_date</t>
  </si>
  <si>
    <t>Delivery_date</t>
  </si>
  <si>
    <t>city</t>
  </si>
  <si>
    <t>state</t>
  </si>
  <si>
    <t>payment_method</t>
  </si>
  <si>
    <t>gender</t>
  </si>
  <si>
    <t>customer_age</t>
  </si>
  <si>
    <t>ORD1001</t>
  </si>
  <si>
    <t>Lipstick</t>
  </si>
  <si>
    <t>Cosmetics</t>
  </si>
  <si>
    <t>Nashik</t>
  </si>
  <si>
    <t>Maharashtra</t>
  </si>
  <si>
    <t>UPI</t>
  </si>
  <si>
    <t>Female</t>
  </si>
  <si>
    <t>ORD1002</t>
  </si>
  <si>
    <t>Foundation</t>
  </si>
  <si>
    <t>Coimbatore</t>
  </si>
  <si>
    <t>Tamil Nadu</t>
  </si>
  <si>
    <t>Cash on Delivery</t>
  </si>
  <si>
    <t>Male</t>
  </si>
  <si>
    <t>ORD1003</t>
  </si>
  <si>
    <t>Coffee Maker</t>
  </si>
  <si>
    <t>Home Appliances</t>
  </si>
  <si>
    <t>Hubballi</t>
  </si>
  <si>
    <t>Karnataka</t>
  </si>
  <si>
    <t>Credit Card</t>
  </si>
  <si>
    <t>ORD1004</t>
  </si>
  <si>
    <t>Bengaluru</t>
  </si>
  <si>
    <t>Net Banking</t>
  </si>
  <si>
    <t>ORD1005</t>
  </si>
  <si>
    <t>Sunscreen</t>
  </si>
  <si>
    <t>Kochi</t>
  </si>
  <si>
    <t>Kerala</t>
  </si>
  <si>
    <t>ORD1006</t>
  </si>
  <si>
    <t>Eyeliner</t>
  </si>
  <si>
    <t>Mysuru</t>
  </si>
  <si>
    <t>Debit Card</t>
  </si>
  <si>
    <t>ORD1007</t>
  </si>
  <si>
    <t>Vacuum Cleaner</t>
  </si>
  <si>
    <t>Kollam</t>
  </si>
  <si>
    <t>ORD1008</t>
  </si>
  <si>
    <t>Pune</t>
  </si>
  <si>
    <t>ORD1009</t>
  </si>
  <si>
    <t>Microwave</t>
  </si>
  <si>
    <t>Khammam</t>
  </si>
  <si>
    <t>Telangana</t>
  </si>
  <si>
    <t>ORD1010</t>
  </si>
  <si>
    <t>Leather Jacket</t>
  </si>
  <si>
    <t>Fashion</t>
  </si>
  <si>
    <t>ORD1011</t>
  </si>
  <si>
    <t>Chennai</t>
  </si>
  <si>
    <t>ORD1012</t>
  </si>
  <si>
    <t>Air Fryer</t>
  </si>
  <si>
    <t>ORD1013</t>
  </si>
  <si>
    <t>Belagavi</t>
  </si>
  <si>
    <t>ORD1014</t>
  </si>
  <si>
    <t>ORD1015</t>
  </si>
  <si>
    <t>Moisturizer</t>
  </si>
  <si>
    <t>ORD1016</t>
  </si>
  <si>
    <t>Nail Polish</t>
  </si>
  <si>
    <t>Karimnagar</t>
  </si>
  <si>
    <t>ORD1017</t>
  </si>
  <si>
    <t>Gel Pen Set</t>
  </si>
  <si>
    <t>Stationary</t>
  </si>
  <si>
    <t>Nizamabad</t>
  </si>
  <si>
    <t>ORD1018</t>
  </si>
  <si>
    <t>ORD1019</t>
  </si>
  <si>
    <t>ORD1020</t>
  </si>
  <si>
    <t>Handbag</t>
  </si>
  <si>
    <t>Mumbai</t>
  </si>
  <si>
    <t>ORD1021</t>
  </si>
  <si>
    <t>Fountain Pen</t>
  </si>
  <si>
    <t>ORD1022</t>
  </si>
  <si>
    <t>Thane</t>
  </si>
  <si>
    <t>ORD1023</t>
  </si>
  <si>
    <t>ORD1024</t>
  </si>
  <si>
    <t>Formal Shirt</t>
  </si>
  <si>
    <t>Mangaluru</t>
  </si>
  <si>
    <t>ORD1025</t>
  </si>
  <si>
    <t>Sneakers</t>
  </si>
  <si>
    <t>ORD1026</t>
  </si>
  <si>
    <t>Highlighters</t>
  </si>
  <si>
    <t>ORD1027</t>
  </si>
  <si>
    <t>ORD1028</t>
  </si>
  <si>
    <t>Toaster</t>
  </si>
  <si>
    <t>Warangal</t>
  </si>
  <si>
    <t>ORD1029</t>
  </si>
  <si>
    <t>ORD1030</t>
  </si>
  <si>
    <t>ORD1031</t>
  </si>
  <si>
    <t>ORD1032</t>
  </si>
  <si>
    <t>Socks</t>
  </si>
  <si>
    <t>ORD1033</t>
  </si>
  <si>
    <t>Thrissur</t>
  </si>
  <si>
    <t>ORD1034</t>
  </si>
  <si>
    <t>ORD1035</t>
  </si>
  <si>
    <t>ORD1036</t>
  </si>
  <si>
    <t>Kozhikode</t>
  </si>
  <si>
    <t>ORD1037</t>
  </si>
  <si>
    <t>ORD1038</t>
  </si>
  <si>
    <t>ORD1039</t>
  </si>
  <si>
    <t>ORD1040</t>
  </si>
  <si>
    <t>Non-binary</t>
  </si>
  <si>
    <t>ORD1041</t>
  </si>
  <si>
    <t>ORD1042</t>
  </si>
  <si>
    <t>Nagpur</t>
  </si>
  <si>
    <t>ORD1043</t>
  </si>
  <si>
    <t>Electric Kettle</t>
  </si>
  <si>
    <t>ORD1044</t>
  </si>
  <si>
    <t>ORD1045</t>
  </si>
  <si>
    <t>Sketchbook</t>
  </si>
  <si>
    <t>ORD1046</t>
  </si>
  <si>
    <t>Thiruvananthapuram</t>
  </si>
  <si>
    <t>ORD1047</t>
  </si>
  <si>
    <t>ORD1048</t>
  </si>
  <si>
    <t>T-Shirt</t>
  </si>
  <si>
    <t>ORD1049</t>
  </si>
  <si>
    <t>Salem</t>
  </si>
  <si>
    <t>ORD1050</t>
  </si>
  <si>
    <t>ORD1051</t>
  </si>
  <si>
    <t>ORD1052</t>
  </si>
  <si>
    <t>ORD1053</t>
  </si>
  <si>
    <t>Jeans</t>
  </si>
  <si>
    <t>Hyderabad</t>
  </si>
  <si>
    <t>ORD1054</t>
  </si>
  <si>
    <t>Perfume</t>
  </si>
  <si>
    <t>ORD1055</t>
  </si>
  <si>
    <t>ORD1056</t>
  </si>
  <si>
    <t>ORD1057</t>
  </si>
  <si>
    <t>Desk Organizer</t>
  </si>
  <si>
    <t>ORD1058</t>
  </si>
  <si>
    <t>ORD1059</t>
  </si>
  <si>
    <t>Mascara</t>
  </si>
  <si>
    <t>ORD1060</t>
  </si>
  <si>
    <t>ORD1061</t>
  </si>
  <si>
    <t>Sticker Pack</t>
  </si>
  <si>
    <t>ORD1062</t>
  </si>
  <si>
    <t>ORD1063</t>
  </si>
  <si>
    <t>Notebook</t>
  </si>
  <si>
    <t>ORD1064</t>
  </si>
  <si>
    <t>ORD1065</t>
  </si>
  <si>
    <t>Trichy</t>
  </si>
  <si>
    <t>ORD1066</t>
  </si>
  <si>
    <t>Madurai</t>
  </si>
  <si>
    <t>ORD1067</t>
  </si>
  <si>
    <t>ORD1068</t>
  </si>
  <si>
    <t>Blender</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</si>
  <si>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</si>
  <si>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</si>
  <si>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</si>
  <si>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</si>
  <si>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</si>
  <si>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</si>
  <si>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</si>
  <si>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</si>
  <si>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</si>
  <si>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</si>
  <si>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</si>
  <si>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</si>
  <si>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</si>
  <si>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</si>
  <si>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</si>
  <si>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</si>
  <si>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</si>
  <si>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</si>
  <si>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</si>
  <si>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Summer Dress</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</si>
  <si>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</si>
  <si>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</si>
  <si>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</si>
  <si>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</si>
  <si>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</si>
  <si>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</si>
  <si>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</si>
  <si>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</si>
  <si>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</si>
  <si>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</si>
  <si>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</si>
  <si>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</si>
  <si>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</si>
  <si>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</si>
  <si>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</si>
  <si>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</si>
  <si>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</si>
  <si>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</si>
  <si>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</si>
  <si>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</si>
  <si>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</si>
  <si>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</si>
  <si>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</si>
  <si>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</si>
  <si>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</si>
  <si>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</si>
  <si>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</si>
  <si>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</si>
  <si>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</si>
  <si>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</si>
  <si>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</si>
  <si>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</si>
  <si>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</si>
  <si>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</si>
  <si>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</si>
  <si>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</si>
  <si>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</si>
  <si>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</si>
  <si>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</si>
  <si>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</si>
  <si>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</si>
  <si>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</si>
  <si>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</si>
  <si>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</si>
  <si>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</si>
  <si>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</si>
  <si>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</si>
  <si>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</si>
  <si>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</si>
  <si>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</si>
  <si>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</si>
  <si>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</si>
  <si>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</si>
  <si>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</si>
  <si>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</si>
  <si>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</si>
  <si>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</si>
  <si>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</si>
  <si>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</si>
  <si>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</si>
  <si>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</si>
  <si>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</si>
  <si>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</si>
  <si>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</si>
  <si>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</si>
  <si>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</si>
  <si>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</si>
  <si>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</si>
  <si>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</si>
  <si>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</si>
  <si>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</si>
  <si>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</si>
  <si>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</si>
  <si>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</si>
  <si>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</si>
  <si>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</si>
  <si>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</si>
  <si>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</si>
  <si>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</si>
  <si>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</si>
  <si>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</si>
  <si>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</si>
  <si>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</si>
  <si>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</si>
  <si>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</si>
  <si>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</si>
  <si>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</si>
  <si>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</si>
  <si>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</si>
  <si>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</si>
  <si>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</si>
  <si>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</si>
  <si>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</si>
  <si>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</si>
  <si>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</si>
  <si>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</si>
  <si>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</si>
  <si>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</si>
  <si>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</si>
  <si>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</si>
  <si>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</si>
  <si>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</si>
  <si>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</si>
  <si>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</si>
  <si>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</si>
  <si>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</si>
  <si>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</si>
  <si>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</si>
  <si>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</si>
  <si>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</si>
  <si>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</si>
  <si>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</si>
  <si>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</si>
  <si>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 xml:space="preserve"> Amount</t>
  </si>
  <si>
    <t>Count of order_id</t>
  </si>
  <si>
    <t>Sum of  Amount3</t>
  </si>
  <si>
    <t>Max of  Amount</t>
  </si>
  <si>
    <t>Min of  Amount2</t>
  </si>
  <si>
    <t>Row Labels</t>
  </si>
  <si>
    <t>Grand Total</t>
  </si>
  <si>
    <t>KPIs</t>
  </si>
  <si>
    <t>Total Order</t>
  </si>
  <si>
    <t>Total Amount</t>
  </si>
  <si>
    <t xml:space="preserve">Max Amount </t>
  </si>
  <si>
    <t xml:space="preserve">Min Amount </t>
  </si>
  <si>
    <t>No of Products</t>
  </si>
  <si>
    <t>Sum of  Amount</t>
  </si>
  <si>
    <t>Month</t>
  </si>
  <si>
    <t>May</t>
  </si>
  <si>
    <t>Apr</t>
  </si>
  <si>
    <t>Nov</t>
  </si>
  <si>
    <t>Dec</t>
  </si>
  <si>
    <t>Jul</t>
  </si>
  <si>
    <t>Jun</t>
  </si>
  <si>
    <t>Oct</t>
  </si>
  <si>
    <t>Jan</t>
  </si>
  <si>
    <t>Mar</t>
  </si>
  <si>
    <t>Feb</t>
  </si>
  <si>
    <t>Aug</t>
  </si>
  <si>
    <t>Sep</t>
  </si>
  <si>
    <t>Count of customer_age</t>
  </si>
  <si>
    <t>Count of  Amount</t>
  </si>
  <si>
    <t>2025</t>
  </si>
  <si>
    <t>2026</t>
  </si>
  <si>
    <t>Count of product_name</t>
  </si>
  <si>
    <t>Product</t>
  </si>
  <si>
    <t>19-30</t>
  </si>
  <si>
    <t>31-42</t>
  </si>
  <si>
    <t>43-54</t>
  </si>
  <si>
    <t>55-66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</si>
</sst>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F800]dddd\,\ mmmm\ dd\,\ yyyy"/>
    <numFmt numFmtId="165" formatCode="[$₹-4009]\ #,##0.00"/>
    <numFmt numFmtId="166" formatCode="0.00,,\ &quot;M&quot;"/>
    <numFmt numFmtId="167" formatCode="0.000,\ &quot;K&quot;"/>
    <numFmt numFmtId="168" formatCode="&quot;$&quot;#,##0.00"/>
    <numFmt numFmtId="169" formatCode="0.00,\ &quot;K&quot;"/>
    <numFmt numFmtId="170" formatCode="[$₹-4009]\ 0.00,\ &quot;K&quot;"/>
    <numFmt numFmtId="171" formatCode="[$₹-4009]\ 0.00,,\ &quot;M&quot;"/>
  </numFmts>
  <fonts count="4" x14ac:knownFonts="1">
    <font>
      <sz val="11"/>
      <color theme="1"/>
      <name val="Calibri"/>
      <family val="2"/>
      <scheme val="minor"/>
    </font>
    <font>
      <b/>
      <sz val="16"/>
      <color theme="1"/>
      <name val="Calibri"/>
      <family val="2"/>
      <scheme val="minor"/>
    </font>
    <font>
      <b/>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2" fillId="3" borderId="1" xfId="0" applyFont="1" applyFill="1" applyBorder="1"/>
    <xf numFmtId="166" fontId="0" fillId="0" borderId="1" xfId="0" applyNumberFormat="1" applyBorder="1"/>
    <xf numFmtId="167" fontId="0" fillId="0" borderId="1" xfId="0" applyNumberFormat="1" applyBorder="1"/>
    <xf numFmtId="169" fontId="0" fillId="0" borderId="0" xfId="0" applyNumberFormat="1"/>
    <xf numFmtId="166" fontId="0" fillId="0" borderId="0" xfId="0" applyNumberFormat="1"/>
    <xf numFmtId="170" fontId="0" fillId="0" borderId="0" xfId="0" applyNumberFormat="1"/>
    <xf numFmtId="171" fontId="0" fillId="0" borderId="0" xfId="0" applyNumberFormat="1"/>
    <xf numFmtId="0" fontId="3" fillId="0" borderId="0" xfId="0" applyFont="1"/>
    <xf numFmtId="0" fontId="1" fillId="2" borderId="1" xfId="0" applyFont="1" applyFill="1" applyBorder="1" applyAlignment="1">
      <alignment horizontal="center"/>
    </xf>
    <xf numFmtId="0" fontId="0" fillId="0" borderId="0" xfId="0" applyAlignment="1">
      <alignment vertical="center"/>
    </xf>
  </cellXfs>
  <cellStyles count="1">
    <cellStyle name="Normal" xfId="0" builtinId="0"/>
  </cellStyles>
  <dxfs count="1160">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font>
        <color theme="1"/>
      </font>
      <border>
        <bottom style="thin">
          <color theme="8"/>
        </bottom>
        <vertical/>
        <horizontal/>
      </border>
    </dxf>
    <dxf>
      <font>
        <b/>
        <i val="0"/>
        <sz val="16"/>
        <color theme="1"/>
      </font>
      <fill>
        <patternFill>
          <bgColor theme="8" tint="-0.499984740745262"/>
        </patternFill>
      </fill>
      <border>
        <left style="thin">
          <color theme="8"/>
        </left>
        <right style="thin">
          <color theme="8"/>
        </right>
        <top style="thin">
          <color theme="8"/>
        </top>
        <bottom style="thin">
          <color theme="8"/>
        </bottom>
        <vertical/>
        <horizontal/>
      </border>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71" formatCode="[$₹-4009]\ 0.00,,\ &quot;M&quot;"/>
    </dxf>
    <dxf>
      <numFmt numFmtId="0" formatCode="General"/>
    </dxf>
    <dxf>
      <numFmt numFmtId="0" formatCode="General"/>
    </dxf>
    <dxf>
      <numFmt numFmtId="0" formatCode="General"/>
    </dxf>
    <dxf>
      <numFmt numFmtId="170" formatCode="[$₹-4009]\ 0.00,\ &quot;K&quot;"/>
    </dxf>
    <dxf>
      <numFmt numFmtId="170" formatCode="[$₹-4009]\ 0.00,\ &quot;K&quot;"/>
    </dxf>
    <dxf>
      <numFmt numFmtId="171" formatCode="[$₹-4009]\ 0.00,,\ &quot;M&quot;"/>
    </dxf>
    <dxf>
      <numFmt numFmtId="0" formatCode="General"/>
    </dxf>
    <dxf>
      <numFmt numFmtId="0" formatCode="General"/>
    </dxf>
    <dxf>
      <numFmt numFmtId="0" formatCode="General"/>
    </dxf>
    <dxf>
      <numFmt numFmtId="171" formatCode="[$₹-4009]\ 0.00,,\ &quot;M&quot;"/>
    </dxf>
    <dxf>
      <numFmt numFmtId="0" formatCode="General"/>
    </dxf>
    <dxf>
      <numFmt numFmtId="0" formatCode="General"/>
    </dxf>
    <dxf>
      <numFmt numFmtId="168" formatCode="&quot;$&quot;#,##0.00"/>
    </dxf>
    <dxf>
      <numFmt numFmtId="170" formatCode="[$₹-4009]\ 0.00,\ &quot;K&quot;"/>
    </dxf>
    <dxf>
      <numFmt numFmtId="171" formatCode="[$₹-4009]\ 0.00,,\ &quot;M&quot;"/>
    </dxf>
    <dxf>
      <numFmt numFmtId="168" formatCode="&quot;$&quot;#,##0.00"/>
    </dxf>
    <dxf>
      <numFmt numFmtId="169" formatCode="0.00,\ &quot;K&quot;"/>
    </dxf>
    <dxf>
      <numFmt numFmtId="166" formatCode="0.00,,\ &quot;M&quot;"/>
    </dxf>
    <dxf>
      <numFmt numFmtId="171" formatCode="[$₹-4009]\ 0.00,,\ &quot;M&quot;"/>
    </dxf>
    <dxf>
      <numFmt numFmtId="0" formatCode="General"/>
    </dxf>
    <dxf>
      <numFmt numFmtId="0" formatCode="General"/>
    </dxf>
    <dxf>
      <numFmt numFmtId="164" formatCode="[$-F800]dddd\,\ mmmm\ dd\,\ yyyy"/>
    </dxf>
    <dxf>
      <numFmt numFmtId="164" formatCode="[$-F800]dddd\,\ mmmm\ dd\,\ yyyy"/>
    </dxf>
    <dxf>
      <numFmt numFmtId="164" formatCode="[$-F800]dddd\,\ mmmm\ dd\,\ yyyy"/>
    </dxf>
    <dxf>
      <numFmt numFmtId="165" formatCode="[$₹-4009]\ #,##0.00"/>
    </dxf>
    <dxf>
      <numFmt numFmtId="165" formatCode="[$₹-4009]\ #,##0.00"/>
    </dxf>
  </dxfs>
  <tableStyles count="2" defaultTableStyle="TableStyleMedium2" defaultPivotStyle="PivotStyleLight16">
    <tableStyle name="new" pivot="0" table="0" count="10" xr9:uid="{1D55CC3D-6632-49BE-A653-694B848941F1}">
      <tableStyleElement type="wholeTable" dxfId="793"/>
      <tableStyleElement type="headerRow" dxfId="792"/>
    </tableStyle>
    <tableStyle name="Slicer Style 1" pivot="0" table="0" count="5" xr9:uid="{063CC953-61A3-4EF5-A467-EB56AD4882B8}"/>
  </tableStyles>
  <colors>
    <mruColors>
      <color rgb="FF000032"/>
      <color rgb="FF767171"/>
    </mruColors>
  </colors>
  <extLst>
    <ext xmlns:x14="http://schemas.microsoft.com/office/spreadsheetml/2009/9/main" uri="{46F421CA-312F-682f-3DD2-61675219B42D}">
      <x14:dxfs count="65">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8"/>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sz val="18"/>
            <color theme="1"/>
          </font>
          <fill>
            <patternFill patternType="solid">
              <fgColor theme="8"/>
              <bgColor theme="8"/>
            </patternFill>
          </fill>
          <border>
            <left style="thin">
              <color theme="8"/>
            </left>
            <right style="thin">
              <color theme="8"/>
            </right>
            <top style="thin">
              <color theme="8"/>
            </top>
            <bottom style="thin">
              <color theme="8"/>
            </bottom>
            <vertical/>
            <horizontal/>
          </border>
        </dxf>
        <dxf>
          <font>
            <b/>
            <i val="0"/>
            <sz val="16"/>
            <color rgb="FF959595"/>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b/>
            <i val="0"/>
            <sz val="16"/>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8"/>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sz val="18"/>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b/>
            <i val="0"/>
            <sz val="16"/>
            <color rgb="FF959595"/>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b/>
            <i val="0"/>
            <sz val="16"/>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8"/>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sz val="18"/>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b/>
            <i val="0"/>
            <sz val="16"/>
            <color rgb="FF959595"/>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b/>
            <i val="0"/>
            <sz val="16"/>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8"/>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sz val="18"/>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b/>
            <i val="0"/>
            <sz val="16"/>
            <color rgb="FF959595"/>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b/>
            <i val="0"/>
            <sz val="16"/>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sz val="18"/>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sz val="18"/>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b/>
            <i val="0"/>
            <sz val="16"/>
            <color rgb="FF959595"/>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b/>
            <i val="0"/>
            <sz val="16"/>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theme="8" tint="0.3999450666829432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8" tint="0.3999450666829432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8"/>
          </font>
          <border>
            <left style="thin">
              <color auto="1"/>
            </left>
            <right style="thin">
              <color auto="1"/>
            </right>
            <top style="thin">
              <color auto="1"/>
            </top>
            <bottom style="thin">
              <color auto="1"/>
            </bottom>
          </border>
        </dxf>
        <dxf>
          <font>
            <b/>
            <i val="0"/>
            <sz val="16"/>
          </font>
          <fill>
            <patternFill>
              <bgColor theme="4" tint="0.39994506668294322"/>
            </patternFill>
          </fill>
          <border>
            <left style="thin">
              <color auto="1"/>
            </left>
            <right style="thin">
              <color auto="1"/>
            </right>
            <top style="thin">
              <color auto="1"/>
            </top>
            <bottom style="thin">
              <color auto="1"/>
            </bottom>
          </border>
        </dxf>
        <dxf>
          <font>
            <b/>
            <i val="0"/>
            <sz val="16"/>
          </font>
          <fill>
            <patternFill>
              <bgColor theme="4" tint="0.39994506668294322"/>
            </patternFill>
          </fill>
          <border>
            <left style="thin">
              <color auto="1"/>
            </left>
            <right style="thin">
              <color auto="1"/>
            </right>
            <top style="thin">
              <color auto="1"/>
            </top>
            <bottom style="thin">
              <color auto="1"/>
            </bottom>
          </border>
        </dxf>
        <dxf>
          <font>
            <b/>
            <i/>
            <sz val="18"/>
          </font>
          <fill>
            <patternFill>
              <bgColor theme="8" tint="-0.24994659260841701"/>
            </patternFill>
          </fill>
          <border>
            <left style="thin">
              <color auto="1"/>
            </left>
            <right style="thin">
              <color auto="1"/>
            </right>
            <top style="thin">
              <color auto="1"/>
            </top>
            <bottom style="thin">
              <color auto="1"/>
            </bottom>
          </border>
        </dxf>
        <dxf>
          <font>
            <b/>
            <i val="0"/>
            <sz val="16"/>
          </font>
          <fill>
            <patternFill>
              <bgColor theme="8" tint="0.39994506668294322"/>
            </patternFill>
          </fill>
        </dxf>
        <dxf>
          <font>
            <b/>
            <i val="0"/>
            <sz val="16"/>
          </font>
          <fill>
            <patternFill>
              <bgColor theme="4" tint="0.39994506668294322"/>
            </patternFill>
          </fill>
          <border>
            <left style="thin">
              <color auto="1"/>
            </left>
            <right style="thin">
              <color auto="1"/>
            </right>
            <top style="thin">
              <color auto="1"/>
            </top>
            <bottom style="thin">
              <color auto="1"/>
            </bottom>
          </border>
        </dxf>
        <dxf>
          <font>
            <b/>
            <i val="0"/>
            <sz val="16"/>
          </font>
          <fill>
            <patternFill>
              <bgColor theme="4" tint="0.39994506668294322"/>
            </patternFill>
          </fill>
          <border>
            <left style="thin">
              <color auto="1"/>
            </left>
            <right style="thin">
              <color auto="1"/>
            </right>
            <top style="thin">
              <color auto="1"/>
            </top>
            <bottom style="thin">
              <color auto="1"/>
            </bottom>
          </border>
        </dxf>
        <dxf>
          <font>
            <b/>
            <i/>
            <sz val="18"/>
          </font>
          <fill>
            <patternFill>
              <bgColor theme="8" tint="-0.24994659260841701"/>
            </patternFill>
          </fill>
          <border>
            <left style="thin">
              <color auto="1"/>
            </left>
            <right style="thin">
              <color auto="1"/>
            </right>
            <top style="thin">
              <color auto="1"/>
            </top>
            <bottom style="thin">
              <color auto="1"/>
            </bottom>
          </border>
        </dxf>
        <dxf>
          <font>
            <b/>
            <i val="0"/>
            <sz val="16"/>
          </font>
          <fill>
            <patternFill>
              <bgColor theme="8" tint="0.39994506668294322"/>
            </patternFill>
          </fill>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Elements>
            <x14:slicerStyleElement type="unselectedItemWithData" dxfId="60"/>
            <x14:slicerStyleElement type="unselectedItemWithNoData" dxfId="56"/>
            <x14:slicerStyleElement type="selectedItemWithData" dxfId="59"/>
            <x14:slicerStyleElement type="hoveredUnselectedItemWithData" dxfId="58"/>
            <x14:slicerStyleElement type="hoveredSelectedItemWithData" dxfId="57"/>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 Dash-Board ) Final Project.xlsx]Pivot Table!PivotTable9</c:name>
    <c:fmtId val="4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solidFill>
              <a:schemeClr val="tx1"/>
            </a:solidFill>
          </a:ln>
          <a:effectLst/>
        </c:spPr>
        <c:marker>
          <c:symbol val="none"/>
        </c:marker>
      </c:pivotFmt>
      <c:pivotFmt>
        <c:idx val="3"/>
        <c:spPr>
          <a:solidFill>
            <a:schemeClr val="accent1">
              <a:lumMod val="60000"/>
              <a:lumOff val="40000"/>
            </a:schemeClr>
          </a:solidFill>
          <a:ln>
            <a:solidFill>
              <a:schemeClr val="tx1"/>
            </a:solidFill>
          </a:ln>
          <a:effectLst/>
        </c:spPr>
        <c:marker>
          <c:symbol val="none"/>
        </c:marker>
      </c:pivotFmt>
      <c:pivotFmt>
        <c:idx val="4"/>
        <c:spPr>
          <a:solidFill>
            <a:schemeClr val="accent1">
              <a:lumMod val="60000"/>
              <a:lumOff val="40000"/>
            </a:schemeClr>
          </a:solidFill>
          <a:ln>
            <a:solidFill>
              <a:schemeClr val="tx1"/>
            </a:solidFill>
          </a:ln>
          <a:effectLst/>
        </c:spPr>
        <c:marker>
          <c:symbol val="none"/>
        </c:marker>
      </c:pivotFmt>
    </c:pivotFmts>
    <c:plotArea>
      <c:layout/>
      <c:barChart>
        <c:barDir val="col"/>
        <c:grouping val="clustered"/>
        <c:varyColors val="0"/>
        <c:ser>
          <c:idx val="0"/>
          <c:order val="0"/>
          <c:tx>
            <c:strRef>
              <c:f>'Pivot Table'!$K$12</c:f>
              <c:strCache>
                <c:ptCount val="1"/>
                <c:pt idx="0">
                  <c:v>Total</c:v>
                </c:pt>
              </c:strCache>
            </c:strRef>
          </c:tx>
          <c:spPr>
            <a:solidFill>
              <a:schemeClr val="accent1">
                <a:lumMod val="60000"/>
                <a:lumOff val="40000"/>
              </a:schemeClr>
            </a:solidFill>
            <a:ln>
              <a:solidFill>
                <a:schemeClr val="tx1"/>
              </a:solidFill>
            </a:ln>
            <a:effectLst/>
          </c:spPr>
          <c:invertIfNegative val="0"/>
          <c:cat>
            <c:strRef>
              <c:f>'Pivot Table'!$J$13:$J$17</c:f>
              <c:strCache>
                <c:ptCount val="4"/>
                <c:pt idx="0">
                  <c:v>19-30</c:v>
                </c:pt>
                <c:pt idx="1">
                  <c:v>31-42</c:v>
                </c:pt>
                <c:pt idx="2">
                  <c:v>43-54</c:v>
                </c:pt>
                <c:pt idx="3">
                  <c:v>55-66</c:v>
                </c:pt>
              </c:strCache>
            </c:strRef>
          </c:cat>
          <c:val>
            <c:numRef>
              <c:f>'Pivot Table'!$K$13:$K$17</c:f>
              <c:numCache>
                <c:formatCode>General</c:formatCode>
                <c:ptCount val="4"/>
                <c:pt idx="0">
                  <c:v>50</c:v>
                </c:pt>
                <c:pt idx="1">
                  <c:v>49</c:v>
                </c:pt>
                <c:pt idx="2">
                  <c:v>49</c:v>
                </c:pt>
                <c:pt idx="3">
                  <c:v>52</c:v>
                </c:pt>
              </c:numCache>
            </c:numRef>
          </c:val>
          <c:extLst>
            <c:ext xmlns:c16="http://schemas.microsoft.com/office/drawing/2014/chart" uri="{C3380CC4-5D6E-409C-BE32-E72D297353CC}">
              <c16:uniqueId val="{00000000-2F6A-4562-8AD2-EAF6EC89AD1F}"/>
            </c:ext>
          </c:extLst>
        </c:ser>
        <c:dLbls>
          <c:showLegendKey val="0"/>
          <c:showVal val="0"/>
          <c:showCatName val="0"/>
          <c:showSerName val="0"/>
          <c:showPercent val="0"/>
          <c:showBubbleSize val="0"/>
        </c:dLbls>
        <c:gapWidth val="219"/>
        <c:overlap val="-27"/>
        <c:axId val="1013968927"/>
        <c:axId val="1127362943"/>
      </c:barChart>
      <c:catAx>
        <c:axId val="101396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7362943"/>
        <c:crosses val="autoZero"/>
        <c:auto val="1"/>
        <c:lblAlgn val="ctr"/>
        <c:lblOffset val="100"/>
        <c:noMultiLvlLbl val="0"/>
      </c:catAx>
      <c:valAx>
        <c:axId val="1127362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1396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 Dash-Board ) Final Project.xlsx]Pivot Table!PivotTable3</c:name>
    <c:fmtId val="2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lumMod val="60000"/>
              <a:lumOff val="40000"/>
            </a:schemeClr>
          </a:solidFill>
          <a:ln>
            <a:solidFill>
              <a:schemeClr val="tx1"/>
            </a:solidFill>
          </a:ln>
          <a:effectLst/>
        </c:spPr>
        <c:marker>
          <c:symbol val="none"/>
        </c:marker>
      </c:pivotFmt>
    </c:pivotFmts>
    <c:plotArea>
      <c:layout/>
      <c:barChart>
        <c:barDir val="col"/>
        <c:grouping val="clustered"/>
        <c:varyColors val="0"/>
        <c:ser>
          <c:idx val="0"/>
          <c:order val="0"/>
          <c:tx>
            <c:strRef>
              <c:f>'Pivot Table'!$K$3</c:f>
              <c:strCache>
                <c:ptCount val="1"/>
                <c:pt idx="0">
                  <c:v>Total</c:v>
                </c:pt>
              </c:strCache>
            </c:strRef>
          </c:tx>
          <c:spPr>
            <a:solidFill>
              <a:schemeClr val="accent1">
                <a:lumMod val="60000"/>
                <a:lumOff val="40000"/>
              </a:schemeClr>
            </a:solidFill>
            <a:ln>
              <a:solidFill>
                <a:schemeClr val="tx1"/>
              </a:solidFill>
            </a:ln>
            <a:effectLst/>
          </c:spPr>
          <c:invertIfNegative val="0"/>
          <c:cat>
            <c:strRef>
              <c:f>'Pivot Table'!$J$4:$J$8</c:f>
              <c:strCache>
                <c:ptCount val="4"/>
                <c:pt idx="0">
                  <c:v>Cosmetics</c:v>
                </c:pt>
                <c:pt idx="1">
                  <c:v>Fashion</c:v>
                </c:pt>
                <c:pt idx="2">
                  <c:v>Home Appliances</c:v>
                </c:pt>
                <c:pt idx="3">
                  <c:v>Stationary</c:v>
                </c:pt>
              </c:strCache>
            </c:strRef>
          </c:cat>
          <c:val>
            <c:numRef>
              <c:f>'Pivot Table'!$K$4:$K$8</c:f>
              <c:numCache>
                <c:formatCode>0.00,\ "K"</c:formatCode>
                <c:ptCount val="4"/>
                <c:pt idx="0">
                  <c:v>238880.51999999996</c:v>
                </c:pt>
                <c:pt idx="1">
                  <c:v>339459.37000000005</c:v>
                </c:pt>
                <c:pt idx="2">
                  <c:v>1464158.1800000004</c:v>
                </c:pt>
                <c:pt idx="3">
                  <c:v>63654.859999999986</c:v>
                </c:pt>
              </c:numCache>
            </c:numRef>
          </c:val>
          <c:extLst>
            <c:ext xmlns:c16="http://schemas.microsoft.com/office/drawing/2014/chart" uri="{C3380CC4-5D6E-409C-BE32-E72D297353CC}">
              <c16:uniqueId val="{00000000-2EA0-4567-BAEE-1E1BFEDCD3C1}"/>
            </c:ext>
          </c:extLst>
        </c:ser>
        <c:dLbls>
          <c:showLegendKey val="0"/>
          <c:showVal val="0"/>
          <c:showCatName val="0"/>
          <c:showSerName val="0"/>
          <c:showPercent val="0"/>
          <c:showBubbleSize val="0"/>
        </c:dLbls>
        <c:gapWidth val="219"/>
        <c:overlap val="-27"/>
        <c:axId val="1097979328"/>
        <c:axId val="2046617440"/>
      </c:barChart>
      <c:catAx>
        <c:axId val="109797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6617440"/>
        <c:crosses val="autoZero"/>
        <c:auto val="1"/>
        <c:lblAlgn val="ctr"/>
        <c:lblOffset val="100"/>
        <c:noMultiLvlLbl val="0"/>
      </c:catAx>
      <c:valAx>
        <c:axId val="2046617440"/>
        <c:scaling>
          <c:orientation val="minMax"/>
        </c:scaling>
        <c:delete val="0"/>
        <c:axPos val="l"/>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97979328"/>
        <c:crosses val="autoZero"/>
        <c:crossBetween val="between"/>
      </c:valAx>
      <c:spPr>
        <a:noFill/>
        <a:ln>
          <a:noFill/>
        </a:ln>
        <a:effectLst>
          <a:softEdge rad="2159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 Dash-Board ) Final Project.xlsx]Pivot Table!PivotTable4</c:name>
    <c:fmtId val="33"/>
  </c:pivotSource>
  <c:chart>
    <c:autoTitleDeleted val="1"/>
    <c:pivotFmts>
      <c:pivotFmt>
        <c:idx val="0"/>
        <c:spPr>
          <a:pattFill prst="ltUpDiag">
            <a:fgClr>
              <a:schemeClr val="accent1"/>
            </a:fgClr>
            <a:bgClr>
              <a:schemeClr val="lt1"/>
            </a:bgClr>
          </a:pattFill>
          <a:ln w="25400" cap="rnd">
            <a:solidFill>
              <a:schemeClr val="tx1"/>
            </a:solidFill>
            <a:round/>
          </a:ln>
          <a:effectLst>
            <a:outerShdw dist="25400" dir="2700000" algn="tl" rotWithShape="0">
              <a:schemeClr val="accent1"/>
            </a:outerShdw>
          </a:effectLst>
        </c:spPr>
        <c:marker>
          <c:symbol val="circle"/>
          <c:size val="14"/>
          <c:spPr>
            <a:solidFill>
              <a:schemeClr val="bg1"/>
            </a:solidFill>
            <a:ln w="66675">
              <a:solidFill>
                <a:schemeClr val="tx1"/>
              </a:solidFill>
            </a:ln>
            <a:effectLst/>
          </c:spPr>
        </c:marker>
      </c:pivotFmt>
      <c:pivotFmt>
        <c:idx val="1"/>
        <c:spPr>
          <a:pattFill prst="ltUpDiag">
            <a:fgClr>
              <a:schemeClr val="accent1"/>
            </a:fgClr>
            <a:bgClr>
              <a:schemeClr val="lt1"/>
            </a:bgClr>
          </a:pattFill>
          <a:ln w="25400" cap="rnd">
            <a:solidFill>
              <a:schemeClr val="tx1"/>
            </a:solidFill>
            <a:round/>
          </a:ln>
          <a:effectLst>
            <a:outerShdw dist="25400" dir="2700000" algn="tl" rotWithShape="0">
              <a:schemeClr val="accent1"/>
            </a:outerShdw>
          </a:effectLst>
        </c:spPr>
        <c:marker>
          <c:symbol val="circle"/>
          <c:size val="14"/>
          <c:spPr>
            <a:solidFill>
              <a:schemeClr val="bg1"/>
            </a:solidFill>
            <a:ln w="66675">
              <a:solidFill>
                <a:schemeClr val="tx1"/>
              </a:solidFill>
            </a:ln>
            <a:effectLst/>
          </c:spPr>
        </c:marker>
      </c:pivotFmt>
      <c:pivotFmt>
        <c:idx val="2"/>
        <c:spPr>
          <a:pattFill prst="ltUpDiag">
            <a:fgClr>
              <a:schemeClr val="accent1"/>
            </a:fgClr>
            <a:bgClr>
              <a:schemeClr val="lt1"/>
            </a:bgClr>
          </a:pattFill>
          <a:ln w="25400" cap="rnd">
            <a:solidFill>
              <a:schemeClr val="tx1"/>
            </a:solidFill>
            <a:round/>
          </a:ln>
          <a:effectLst>
            <a:outerShdw dist="25400" dir="2700000" algn="tl" rotWithShape="0">
              <a:schemeClr val="accent1"/>
            </a:outerShdw>
          </a:effectLst>
        </c:spPr>
        <c:marker>
          <c:symbol val="circle"/>
          <c:size val="14"/>
          <c:spPr>
            <a:solidFill>
              <a:schemeClr val="bg1"/>
            </a:solidFill>
            <a:ln w="66675">
              <a:solidFill>
                <a:schemeClr val="tx1"/>
              </a:solidFill>
            </a:ln>
            <a:effectLst/>
          </c:spPr>
        </c:marker>
      </c:pivotFmt>
      <c:pivotFmt>
        <c:idx val="3"/>
        <c:spPr>
          <a:ln w="50800" cap="rnd">
            <a:solidFill>
              <a:schemeClr val="accent1">
                <a:lumMod val="75000"/>
              </a:schemeClr>
            </a:solidFill>
            <a:round/>
          </a:ln>
          <a:effectLst>
            <a:glow rad="127000">
              <a:schemeClr val="bg2"/>
            </a:glow>
          </a:effectLst>
        </c:spPr>
        <c:marker>
          <c:symbol val="circle"/>
          <c:size val="14"/>
          <c:spPr>
            <a:solidFill>
              <a:schemeClr val="accent1">
                <a:lumMod val="60000"/>
                <a:lumOff val="40000"/>
              </a:schemeClr>
            </a:solidFill>
            <a:ln w="66675">
              <a:solidFill>
                <a:schemeClr val="tx1"/>
              </a:solidFill>
            </a:ln>
            <a:effectLst>
              <a:glow rad="127000">
                <a:schemeClr val="bg2"/>
              </a:glow>
            </a:effectLst>
          </c:spPr>
        </c:marker>
      </c:pivotFmt>
    </c:pivotFmts>
    <c:plotArea>
      <c:layout/>
      <c:lineChart>
        <c:grouping val="standard"/>
        <c:varyColors val="0"/>
        <c:ser>
          <c:idx val="0"/>
          <c:order val="0"/>
          <c:tx>
            <c:strRef>
              <c:f>'Pivot Table'!$N$3</c:f>
              <c:strCache>
                <c:ptCount val="1"/>
                <c:pt idx="0">
                  <c:v>Total</c:v>
                </c:pt>
              </c:strCache>
            </c:strRef>
          </c:tx>
          <c:spPr>
            <a:ln w="50800" cap="rnd">
              <a:solidFill>
                <a:schemeClr val="accent1">
                  <a:lumMod val="75000"/>
                </a:schemeClr>
              </a:solidFill>
              <a:round/>
            </a:ln>
            <a:effectLst>
              <a:glow rad="127000">
                <a:schemeClr val="bg2"/>
              </a:glow>
            </a:effectLst>
          </c:spPr>
          <c:marker>
            <c:symbol val="circle"/>
            <c:size val="14"/>
            <c:spPr>
              <a:solidFill>
                <a:schemeClr val="accent1">
                  <a:lumMod val="60000"/>
                  <a:lumOff val="40000"/>
                </a:schemeClr>
              </a:solidFill>
              <a:ln w="66675">
                <a:solidFill>
                  <a:schemeClr val="tx1"/>
                </a:solidFill>
              </a:ln>
              <a:effectLst>
                <a:glow rad="127000">
                  <a:schemeClr val="bg2"/>
                </a:glow>
              </a:effectLst>
            </c:spPr>
          </c:marker>
          <c:cat>
            <c:strRef>
              <c:f>'Pivot Table'!$M$4:$M$16</c:f>
              <c:strCache>
                <c:ptCount val="12"/>
                <c:pt idx="0">
                  <c:v>May</c:v>
                </c:pt>
                <c:pt idx="1">
                  <c:v>Apr</c:v>
                </c:pt>
                <c:pt idx="2">
                  <c:v>Nov</c:v>
                </c:pt>
                <c:pt idx="3">
                  <c:v>Dec</c:v>
                </c:pt>
                <c:pt idx="4">
                  <c:v>Jul</c:v>
                </c:pt>
                <c:pt idx="5">
                  <c:v>Jun</c:v>
                </c:pt>
                <c:pt idx="6">
                  <c:v>Oct</c:v>
                </c:pt>
                <c:pt idx="7">
                  <c:v>Jan</c:v>
                </c:pt>
                <c:pt idx="8">
                  <c:v>Mar</c:v>
                </c:pt>
                <c:pt idx="9">
                  <c:v>Feb</c:v>
                </c:pt>
                <c:pt idx="10">
                  <c:v>Aug</c:v>
                </c:pt>
                <c:pt idx="11">
                  <c:v>Sep</c:v>
                </c:pt>
              </c:strCache>
            </c:strRef>
          </c:cat>
          <c:val>
            <c:numRef>
              <c:f>'Pivot Table'!$N$4:$N$16</c:f>
              <c:numCache>
                <c:formatCode>[$₹-4009]\ 0.00,\ "K"</c:formatCode>
                <c:ptCount val="12"/>
                <c:pt idx="0">
                  <c:v>165018.34999999998</c:v>
                </c:pt>
                <c:pt idx="1">
                  <c:v>266055.38</c:v>
                </c:pt>
                <c:pt idx="2">
                  <c:v>231720.08000000002</c:v>
                </c:pt>
                <c:pt idx="3">
                  <c:v>167216.28999999998</c:v>
                </c:pt>
                <c:pt idx="4">
                  <c:v>93410.87000000001</c:v>
                </c:pt>
                <c:pt idx="5">
                  <c:v>323012.44999999995</c:v>
                </c:pt>
                <c:pt idx="6">
                  <c:v>120344.62</c:v>
                </c:pt>
                <c:pt idx="7">
                  <c:v>202568.11999999997</c:v>
                </c:pt>
                <c:pt idx="8">
                  <c:v>171738.58000000005</c:v>
                </c:pt>
                <c:pt idx="9">
                  <c:v>121203.22</c:v>
                </c:pt>
                <c:pt idx="10">
                  <c:v>92049</c:v>
                </c:pt>
                <c:pt idx="11">
                  <c:v>151815.96999999997</c:v>
                </c:pt>
              </c:numCache>
            </c:numRef>
          </c:val>
          <c:smooth val="1"/>
          <c:extLst>
            <c:ext xmlns:c16="http://schemas.microsoft.com/office/drawing/2014/chart" uri="{C3380CC4-5D6E-409C-BE32-E72D297353CC}">
              <c16:uniqueId val="{00000000-8541-43EA-BC84-9EB32C214769}"/>
            </c:ext>
          </c:extLst>
        </c:ser>
        <c:dLbls>
          <c:showLegendKey val="0"/>
          <c:showVal val="0"/>
          <c:showCatName val="0"/>
          <c:showSerName val="0"/>
          <c:showPercent val="0"/>
          <c:showBubbleSize val="0"/>
        </c:dLbls>
        <c:dropLines>
          <c:spPr>
            <a:ln w="9525" cap="flat" cmpd="sng" algn="ctr">
              <a:solidFill>
                <a:schemeClr val="tx1"/>
              </a:solidFill>
              <a:prstDash val="dash"/>
              <a:round/>
            </a:ln>
            <a:effectLst/>
          </c:spPr>
        </c:dropLines>
        <c:marker val="1"/>
        <c:smooth val="0"/>
        <c:axId val="2088308095"/>
        <c:axId val="192884575"/>
      </c:lineChart>
      <c:catAx>
        <c:axId val="2088308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tx1"/>
                </a:solidFill>
                <a:latin typeface="+mn-lt"/>
                <a:ea typeface="+mn-ea"/>
                <a:cs typeface="+mn-cs"/>
              </a:defRPr>
            </a:pPr>
            <a:endParaRPr lang="en-US"/>
          </a:p>
        </c:txPr>
        <c:crossAx val="192884575"/>
        <c:crosses val="autoZero"/>
        <c:auto val="1"/>
        <c:lblAlgn val="ctr"/>
        <c:lblOffset val="100"/>
        <c:noMultiLvlLbl val="0"/>
      </c:catAx>
      <c:valAx>
        <c:axId val="192884575"/>
        <c:scaling>
          <c:orientation val="minMax"/>
        </c:scaling>
        <c:delete val="0"/>
        <c:axPos val="l"/>
        <c:numFmt formatCode="[$₹-4009]\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8308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 Dash-Board ) Final Project.xlsx]Pivot Table!PivotTable7</c:name>
    <c:fmtId val="50"/>
  </c:pivotSource>
  <c:chart>
    <c:autoTitleDeleted val="1"/>
    <c:pivotFmts>
      <c:pivotFmt>
        <c:idx val="0"/>
        <c:spPr>
          <a:solidFill>
            <a:schemeClr val="tx1"/>
          </a:solidFill>
          <a:ln>
            <a:solidFill>
              <a:schemeClr val="tx1"/>
            </a:solidFill>
          </a:ln>
          <a:effectLst/>
        </c:spPr>
        <c:marker>
          <c:symbol val="none"/>
        </c:marker>
      </c:pivotFmt>
      <c:pivotFmt>
        <c:idx val="1"/>
        <c:spPr>
          <a:solidFill>
            <a:schemeClr val="tx1"/>
          </a:solidFill>
          <a:ln>
            <a:solidFill>
              <a:schemeClr val="tx1"/>
            </a:solidFill>
          </a:ln>
          <a:effectLst/>
        </c:spPr>
        <c:marker>
          <c:symbol val="none"/>
        </c:marker>
      </c:pivotFmt>
      <c:pivotFmt>
        <c:idx val="2"/>
        <c:spPr>
          <a:solidFill>
            <a:schemeClr val="accent1">
              <a:lumMod val="60000"/>
              <a:lumOff val="40000"/>
            </a:schemeClr>
          </a:solidFill>
          <a:ln>
            <a:solidFill>
              <a:schemeClr val="tx1"/>
            </a:solidFill>
          </a:ln>
          <a:effectLst/>
        </c:spPr>
        <c:marker>
          <c:symbol val="none"/>
        </c:marker>
      </c:pivotFmt>
    </c:pivotFmts>
    <c:plotArea>
      <c:layout/>
      <c:barChart>
        <c:barDir val="col"/>
        <c:grouping val="clustered"/>
        <c:varyColors val="0"/>
        <c:ser>
          <c:idx val="0"/>
          <c:order val="0"/>
          <c:tx>
            <c:strRef>
              <c:f>'Pivot Table'!$T$3</c:f>
              <c:strCache>
                <c:ptCount val="1"/>
                <c:pt idx="0">
                  <c:v>Total</c:v>
                </c:pt>
              </c:strCache>
            </c:strRef>
          </c:tx>
          <c:spPr>
            <a:solidFill>
              <a:schemeClr val="accent1">
                <a:lumMod val="60000"/>
                <a:lumOff val="40000"/>
              </a:schemeClr>
            </a:solidFill>
            <a:ln>
              <a:solidFill>
                <a:schemeClr val="tx1"/>
              </a:solidFill>
            </a:ln>
            <a:effectLst/>
          </c:spPr>
          <c:invertIfNegative val="0"/>
          <c:cat>
            <c:strRef>
              <c:f>'Pivot Table'!$S$4:$S$9</c:f>
              <c:strCache>
                <c:ptCount val="5"/>
                <c:pt idx="0">
                  <c:v>Karnataka</c:v>
                </c:pt>
                <c:pt idx="1">
                  <c:v>Kerala</c:v>
                </c:pt>
                <c:pt idx="2">
                  <c:v>Maharashtra</c:v>
                </c:pt>
                <c:pt idx="3">
                  <c:v>Tamil Nadu</c:v>
                </c:pt>
                <c:pt idx="4">
                  <c:v>Telangana</c:v>
                </c:pt>
              </c:strCache>
            </c:strRef>
          </c:cat>
          <c:val>
            <c:numRef>
              <c:f>'Pivot Table'!$T$4:$T$9</c:f>
              <c:numCache>
                <c:formatCode>General</c:formatCode>
                <c:ptCount val="5"/>
                <c:pt idx="0">
                  <c:v>48</c:v>
                </c:pt>
                <c:pt idx="1">
                  <c:v>32</c:v>
                </c:pt>
                <c:pt idx="2">
                  <c:v>38</c:v>
                </c:pt>
                <c:pt idx="3">
                  <c:v>37</c:v>
                </c:pt>
                <c:pt idx="4">
                  <c:v>45</c:v>
                </c:pt>
              </c:numCache>
            </c:numRef>
          </c:val>
          <c:extLst>
            <c:ext xmlns:c16="http://schemas.microsoft.com/office/drawing/2014/chart" uri="{C3380CC4-5D6E-409C-BE32-E72D297353CC}">
              <c16:uniqueId val="{00000000-52A1-4DC5-B2A0-6223EDD73C57}"/>
            </c:ext>
          </c:extLst>
        </c:ser>
        <c:dLbls>
          <c:showLegendKey val="0"/>
          <c:showVal val="0"/>
          <c:showCatName val="0"/>
          <c:showSerName val="0"/>
          <c:showPercent val="0"/>
          <c:showBubbleSize val="0"/>
        </c:dLbls>
        <c:gapWidth val="219"/>
        <c:overlap val="-27"/>
        <c:axId val="196178543"/>
        <c:axId val="11183471"/>
      </c:barChart>
      <c:catAx>
        <c:axId val="19617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83471"/>
        <c:crosses val="autoZero"/>
        <c:auto val="1"/>
        <c:lblAlgn val="ctr"/>
        <c:lblOffset val="100"/>
        <c:noMultiLvlLbl val="0"/>
      </c:catAx>
      <c:valAx>
        <c:axId val="11183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17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 Dash-Board ) Final Project.xlsx]Pivot Table!PivotTable5</c:name>
    <c:fmtId val="6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solidFill>
              <a:schemeClr val="tx1">
                <a:lumMod val="75000"/>
                <a:lumOff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solidFill>
              <a:schemeClr val="tx1">
                <a:lumMod val="75000"/>
                <a:lumOff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marker>
          <c:symbol val="none"/>
        </c:marker>
        <c:dLbl>
          <c:idx val="0"/>
          <c:spPr>
            <a:solidFill>
              <a:schemeClr val="tx1">
                <a:lumMod val="75000"/>
                <a:lumOff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pivotFmt>
      <c:pivotFmt>
        <c:idx val="9"/>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pivotFmt>
      <c:pivotFmt>
        <c:idx val="10"/>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pivotFmt>
      <c:pivotFmt>
        <c:idx val="11"/>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pivotFmt>
      <c:pivotFmt>
        <c:idx val="12"/>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Table'!$W$3</c:f>
              <c:strCache>
                <c:ptCount val="1"/>
                <c:pt idx="0">
                  <c:v>Total</c:v>
                </c:pt>
              </c:strCache>
            </c:strRef>
          </c:tx>
          <c:spPr>
            <a:solidFill>
              <a:schemeClr val="accent1">
                <a:lumMod val="60000"/>
                <a:lumOff val="40000"/>
              </a:schemeClr>
            </a:solidFill>
            <a:ln>
              <a:solidFill>
                <a:schemeClr val="tx1"/>
              </a:solidFill>
            </a:ln>
          </c:spPr>
          <c:explosion val="8"/>
          <c:dPt>
            <c:idx val="0"/>
            <c:bubble3D val="0"/>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1-030B-4686-A539-07B2EEF5B396}"/>
              </c:ext>
            </c:extLst>
          </c:dPt>
          <c:dPt>
            <c:idx val="1"/>
            <c:bubble3D val="0"/>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3-030B-4686-A539-07B2EEF5B396}"/>
              </c:ext>
            </c:extLst>
          </c:dPt>
          <c:dPt>
            <c:idx val="2"/>
            <c:bubble3D val="0"/>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5-030B-4686-A539-07B2EEF5B396}"/>
              </c:ext>
            </c:extLst>
          </c:dPt>
          <c:dPt>
            <c:idx val="3"/>
            <c:bubble3D val="0"/>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7-030B-4686-A539-07B2EEF5B396}"/>
              </c:ext>
            </c:extLst>
          </c:dPt>
          <c:dPt>
            <c:idx val="4"/>
            <c:bubble3D val="0"/>
            <c:spPr>
              <a:solidFill>
                <a:schemeClr val="accent1">
                  <a:lumMod val="60000"/>
                  <a:lumOff val="40000"/>
                </a:schemeClr>
              </a:solidFill>
              <a:ln>
                <a:solidFill>
                  <a:schemeClr val="tx1"/>
                </a:solidFill>
              </a:ln>
              <a:effectLst>
                <a:outerShdw blurRad="254000" sx="102000" sy="102000" algn="ctr" rotWithShape="0">
                  <a:prstClr val="black">
                    <a:alpha val="20000"/>
                  </a:prstClr>
                </a:outerShdw>
              </a:effectLst>
              <a:sp3d>
                <a:contourClr>
                  <a:schemeClr val="tx1"/>
                </a:contourClr>
              </a:sp3d>
            </c:spPr>
            <c:extLst>
              <c:ext xmlns:c16="http://schemas.microsoft.com/office/drawing/2014/chart" uri="{C3380CC4-5D6E-409C-BE32-E72D297353CC}">
                <c16:uniqueId val="{00000009-030B-4686-A539-07B2EEF5B396}"/>
              </c:ext>
            </c:extLst>
          </c:dPt>
          <c:dLbls>
            <c:spPr>
              <a:solidFill>
                <a:schemeClr val="tx1">
                  <a:lumMod val="75000"/>
                  <a:lumOff val="25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Table'!$V$4:$V$9</c:f>
              <c:strCache>
                <c:ptCount val="5"/>
                <c:pt idx="0">
                  <c:v>Cash on Delivery</c:v>
                </c:pt>
                <c:pt idx="1">
                  <c:v>Credit Card</c:v>
                </c:pt>
                <c:pt idx="2">
                  <c:v>Debit Card</c:v>
                </c:pt>
                <c:pt idx="3">
                  <c:v>Net Banking</c:v>
                </c:pt>
                <c:pt idx="4">
                  <c:v>UPI</c:v>
                </c:pt>
              </c:strCache>
            </c:strRef>
          </c:cat>
          <c:val>
            <c:numRef>
              <c:f>'Pivot Table'!$W$4:$W$9</c:f>
              <c:numCache>
                <c:formatCode>General</c:formatCode>
                <c:ptCount val="5"/>
                <c:pt idx="0">
                  <c:v>47</c:v>
                </c:pt>
                <c:pt idx="1">
                  <c:v>43</c:v>
                </c:pt>
                <c:pt idx="2">
                  <c:v>38</c:v>
                </c:pt>
                <c:pt idx="3">
                  <c:v>42</c:v>
                </c:pt>
                <c:pt idx="4">
                  <c:v>30</c:v>
                </c:pt>
              </c:numCache>
            </c:numRef>
          </c:val>
          <c:extLst>
            <c:ext xmlns:c16="http://schemas.microsoft.com/office/drawing/2014/chart" uri="{C3380CC4-5D6E-409C-BE32-E72D297353CC}">
              <c16:uniqueId val="{0000000A-030B-4686-A539-07B2EEF5B396}"/>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Store ( Dash-Board ) Final Project.xlsx]Pivot Table!PivotTable8</c:name>
    <c:fmtId val="92"/>
  </c:pivotSource>
  <c:chart>
    <c:autoTitleDeleted val="1"/>
    <c:pivotFmts>
      <c:pivotFmt>
        <c:idx val="0"/>
        <c:spPr>
          <a:solidFill>
            <a:schemeClr val="tx1"/>
          </a:solidFill>
          <a:ln>
            <a:noFill/>
          </a:ln>
          <a:effectLst/>
        </c:spPr>
        <c:marker>
          <c:symbol val="none"/>
        </c:marker>
      </c:pivotFmt>
      <c:pivotFmt>
        <c:idx val="1"/>
        <c:spPr>
          <a:solidFill>
            <a:schemeClr val="tx1"/>
          </a:solidFill>
          <a:ln>
            <a:noFill/>
          </a:ln>
          <a:effectLst/>
        </c:spPr>
        <c:marker>
          <c:symbol val="none"/>
        </c:marker>
      </c:pivotFmt>
      <c:pivotFmt>
        <c:idx val="2"/>
        <c:spPr>
          <a:solidFill>
            <a:schemeClr val="accent1">
              <a:lumMod val="60000"/>
              <a:lumOff val="40000"/>
            </a:schemeClr>
          </a:solidFill>
          <a:ln>
            <a:solidFill>
              <a:schemeClr val="tx1"/>
            </a:solidFill>
          </a:ln>
          <a:effectLst/>
        </c:spPr>
        <c:marker>
          <c:symbol val="none"/>
        </c:marker>
      </c:pivotFmt>
    </c:pivotFmts>
    <c:plotArea>
      <c:layout/>
      <c:barChart>
        <c:barDir val="col"/>
        <c:grouping val="clustered"/>
        <c:varyColors val="0"/>
        <c:ser>
          <c:idx val="0"/>
          <c:order val="0"/>
          <c:tx>
            <c:strRef>
              <c:f>'Pivot Table'!$T$13</c:f>
              <c:strCache>
                <c:ptCount val="1"/>
                <c:pt idx="0">
                  <c:v>Total</c:v>
                </c:pt>
              </c:strCache>
            </c:strRef>
          </c:tx>
          <c:spPr>
            <a:solidFill>
              <a:schemeClr val="accent1">
                <a:lumMod val="60000"/>
                <a:lumOff val="40000"/>
              </a:schemeClr>
            </a:solidFill>
            <a:ln>
              <a:solidFill>
                <a:schemeClr val="tx1"/>
              </a:solidFill>
            </a:ln>
            <a:effectLst/>
          </c:spPr>
          <c:invertIfNegative val="0"/>
          <c:cat>
            <c:strRef>
              <c:f>'Pivot Table'!$S$14:$S$19</c:f>
              <c:strCache>
                <c:ptCount val="5"/>
                <c:pt idx="0">
                  <c:v>Karimnagar</c:v>
                </c:pt>
                <c:pt idx="1">
                  <c:v>Thrissur</c:v>
                </c:pt>
                <c:pt idx="2">
                  <c:v>Mysuru</c:v>
                </c:pt>
                <c:pt idx="3">
                  <c:v>Salem</c:v>
                </c:pt>
                <c:pt idx="4">
                  <c:v>Coimbatore</c:v>
                </c:pt>
              </c:strCache>
            </c:strRef>
          </c:cat>
          <c:val>
            <c:numRef>
              <c:f>'Pivot Table'!$T$14:$T$19</c:f>
              <c:numCache>
                <c:formatCode>[$₹-4009]\ 0.00,\ "K"</c:formatCode>
                <c:ptCount val="5"/>
                <c:pt idx="0">
                  <c:v>197111.91</c:v>
                </c:pt>
                <c:pt idx="1">
                  <c:v>186306.4</c:v>
                </c:pt>
                <c:pt idx="2">
                  <c:v>128204.76000000001</c:v>
                </c:pt>
                <c:pt idx="3">
                  <c:v>126837.73999999999</c:v>
                </c:pt>
                <c:pt idx="4">
                  <c:v>116291.24999999999</c:v>
                </c:pt>
              </c:numCache>
            </c:numRef>
          </c:val>
          <c:extLst>
            <c:ext xmlns:c16="http://schemas.microsoft.com/office/drawing/2014/chart" uri="{C3380CC4-5D6E-409C-BE32-E72D297353CC}">
              <c16:uniqueId val="{00000000-1068-45A4-869D-ACDFCA26BAA8}"/>
            </c:ext>
          </c:extLst>
        </c:ser>
        <c:dLbls>
          <c:showLegendKey val="0"/>
          <c:showVal val="0"/>
          <c:showCatName val="0"/>
          <c:showSerName val="0"/>
          <c:showPercent val="0"/>
          <c:showBubbleSize val="0"/>
        </c:dLbls>
        <c:gapWidth val="219"/>
        <c:overlap val="-27"/>
        <c:axId val="1785837792"/>
        <c:axId val="1798798464"/>
      </c:barChart>
      <c:catAx>
        <c:axId val="178583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98798464"/>
        <c:crosses val="autoZero"/>
        <c:auto val="1"/>
        <c:lblAlgn val="ctr"/>
        <c:lblOffset val="100"/>
        <c:noMultiLvlLbl val="0"/>
      </c:catAx>
      <c:valAx>
        <c:axId val="1798798464"/>
        <c:scaling>
          <c:orientation val="minMax"/>
        </c:scaling>
        <c:delete val="0"/>
        <c:axPos val="l"/>
        <c:numFmt formatCode="[$₹-4009]\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583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571500</xdr:colOff>
      <xdr:row>8</xdr:row>
      <xdr:rowOff>148166</xdr:rowOff>
    </xdr:from>
    <xdr:to>
      <xdr:col>8</xdr:col>
      <xdr:colOff>1090083</xdr:colOff>
      <xdr:row>23</xdr:row>
      <xdr:rowOff>33866</xdr:rowOff>
    </xdr:to>
    <xdr:graphicFrame macro="">
      <xdr:nvGraphicFramePr>
        <xdr:cNvPr id="3" name="Chart 2">
          <a:extLst>
            <a:ext uri="{FF2B5EF4-FFF2-40B4-BE49-F238E27FC236}">
              <a16:creationId xmlns:a16="http://schemas.microsoft.com/office/drawing/2014/main" id="{8C8D0E0C-4318-4DB5-90F5-7A13044D0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15876</xdr:colOff>
      <xdr:row>0</xdr:row>
      <xdr:rowOff>5953</xdr:rowOff>
    </xdr:from>
    <xdr:to>
      <xdr:col>23</xdr:col>
      <xdr:colOff>99218</xdr:colOff>
      <xdr:row>3</xdr:row>
      <xdr:rowOff>184548</xdr:rowOff>
    </xdr:to>
    <xdr:sp macro="" textlink="">
      <xdr:nvSpPr>
        <xdr:cNvPr id="3" name="Rectangle 2">
          <a:extLst>
            <a:ext uri="{FF2B5EF4-FFF2-40B4-BE49-F238E27FC236}">
              <a16:creationId xmlns:a16="http://schemas.microsoft.com/office/drawing/2014/main" id="{B7CEC6D4-345D-4477-B942-019BC7D082FD}"/>
            </a:ext>
          </a:extLst>
        </xdr:cNvPr>
        <xdr:cNvSpPr/>
      </xdr:nvSpPr>
      <xdr:spPr>
        <a:xfrm>
          <a:off x="15876" y="5953"/>
          <a:ext cx="13958092" cy="750095"/>
        </a:xfrm>
        <a:prstGeom prst="rect">
          <a:avLst/>
        </a:prstGeom>
        <a:solidFill>
          <a:schemeClr val="accent1">
            <a:lumMod val="50000"/>
          </a:schemeClr>
        </a:solidFill>
        <a:ln>
          <a:solidFill>
            <a:schemeClr val="accent1"/>
          </a:solidFill>
        </a:ln>
        <a:effectLst>
          <a:outerShdw blurRad="50800" dist="50800" dir="5400000" algn="ctr" rotWithShape="0">
            <a:schemeClr val="bg2"/>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9526</xdr:colOff>
      <xdr:row>0</xdr:row>
      <xdr:rowOff>0</xdr:rowOff>
    </xdr:from>
    <xdr:to>
      <xdr:col>4</xdr:col>
      <xdr:colOff>11906</xdr:colOff>
      <xdr:row>47</xdr:row>
      <xdr:rowOff>0</xdr:rowOff>
    </xdr:to>
    <xdr:sp macro="" textlink="">
      <xdr:nvSpPr>
        <xdr:cNvPr id="2" name="Rectangle 1">
          <a:extLst>
            <a:ext uri="{FF2B5EF4-FFF2-40B4-BE49-F238E27FC236}">
              <a16:creationId xmlns:a16="http://schemas.microsoft.com/office/drawing/2014/main" id="{EA8A7EDB-F2D3-4B8E-A64B-00C812C3E9EF}"/>
            </a:ext>
          </a:extLst>
        </xdr:cNvPr>
        <xdr:cNvSpPr/>
      </xdr:nvSpPr>
      <xdr:spPr>
        <a:xfrm>
          <a:off x="9526" y="0"/>
          <a:ext cx="1812130" cy="8763000"/>
        </a:xfrm>
        <a:prstGeom prst="rect">
          <a:avLst/>
        </a:prstGeom>
        <a:solidFill>
          <a:schemeClr val="accent1">
            <a:lumMod val="5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119063</xdr:colOff>
      <xdr:row>5</xdr:row>
      <xdr:rowOff>0</xdr:rowOff>
    </xdr:from>
    <xdr:to>
      <xdr:col>7</xdr:col>
      <xdr:colOff>452437</xdr:colOff>
      <xdr:row>11</xdr:row>
      <xdr:rowOff>83344</xdr:rowOff>
    </xdr:to>
    <xdr:sp macro="" textlink="">
      <xdr:nvSpPr>
        <xdr:cNvPr id="4" name="Rectangle: Rounded Corners 3">
          <a:extLst>
            <a:ext uri="{FF2B5EF4-FFF2-40B4-BE49-F238E27FC236}">
              <a16:creationId xmlns:a16="http://schemas.microsoft.com/office/drawing/2014/main" id="{BFFEC801-D322-4B71-9A0C-403A58FE11BF}"/>
            </a:ext>
          </a:extLst>
        </xdr:cNvPr>
        <xdr:cNvSpPr/>
      </xdr:nvSpPr>
      <xdr:spPr>
        <a:xfrm>
          <a:off x="1940719" y="762000"/>
          <a:ext cx="2155031" cy="1226344"/>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127000</xdr:colOff>
      <xdr:row>4</xdr:row>
      <xdr:rowOff>127000</xdr:rowOff>
    </xdr:from>
    <xdr:to>
      <xdr:col>23</xdr:col>
      <xdr:colOff>85727</xdr:colOff>
      <xdr:row>11</xdr:row>
      <xdr:rowOff>33337</xdr:rowOff>
    </xdr:to>
    <xdr:grpSp>
      <xdr:nvGrpSpPr>
        <xdr:cNvPr id="39" name="Group 38">
          <a:extLst>
            <a:ext uri="{FF2B5EF4-FFF2-40B4-BE49-F238E27FC236}">
              <a16:creationId xmlns:a16="http://schemas.microsoft.com/office/drawing/2014/main" id="{566531B0-76C7-49F5-950E-096BD520B8FD}"/>
            </a:ext>
          </a:extLst>
        </xdr:cNvPr>
        <xdr:cNvGrpSpPr/>
      </xdr:nvGrpSpPr>
      <xdr:grpSpPr>
        <a:xfrm>
          <a:off x="2540000" y="889000"/>
          <a:ext cx="11420477" cy="1239837"/>
          <a:chOff x="2627313" y="988219"/>
          <a:chExt cx="11333164" cy="1140618"/>
        </a:xfrm>
      </xdr:grpSpPr>
      <xdr:grpSp>
        <xdr:nvGrpSpPr>
          <xdr:cNvPr id="14" name="Group 13">
            <a:extLst>
              <a:ext uri="{FF2B5EF4-FFF2-40B4-BE49-F238E27FC236}">
                <a16:creationId xmlns:a16="http://schemas.microsoft.com/office/drawing/2014/main" id="{3123CB75-EBD1-4DC5-8B25-41881EB03FE4}"/>
              </a:ext>
            </a:extLst>
          </xdr:cNvPr>
          <xdr:cNvGrpSpPr/>
        </xdr:nvGrpSpPr>
        <xdr:grpSpPr>
          <a:xfrm>
            <a:off x="2627313" y="988219"/>
            <a:ext cx="2083593" cy="1131093"/>
            <a:chOff x="2035969" y="797719"/>
            <a:chExt cx="2095500" cy="1131093"/>
          </a:xfrm>
          <a:solidFill>
            <a:schemeClr val="accent5">
              <a:lumMod val="20000"/>
              <a:lumOff val="80000"/>
            </a:schemeClr>
          </a:solidFill>
          <a:effectLst>
            <a:outerShdw blurRad="63500" sx="102000" sy="102000" algn="ctr" rotWithShape="0">
              <a:prstClr val="black">
                <a:alpha val="40000"/>
              </a:prstClr>
            </a:outerShdw>
          </a:effectLst>
        </xdr:grpSpPr>
        <xdr:sp macro="" textlink="">
          <xdr:nvSpPr>
            <xdr:cNvPr id="9" name="Rectangle: Rounded Corners 8">
              <a:extLst>
                <a:ext uri="{FF2B5EF4-FFF2-40B4-BE49-F238E27FC236}">
                  <a16:creationId xmlns:a16="http://schemas.microsoft.com/office/drawing/2014/main" id="{A49246B4-F7DB-421D-AE73-6D35B681710D}"/>
                </a:ext>
              </a:extLst>
            </xdr:cNvPr>
            <xdr:cNvSpPr/>
          </xdr:nvSpPr>
          <xdr:spPr>
            <a:xfrm>
              <a:off x="2035969" y="797719"/>
              <a:ext cx="2095500" cy="1131093"/>
            </a:xfrm>
            <a:prstGeom prst="roundRect">
              <a:avLst>
                <a:gd name="adj" fmla="val 8246"/>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B8">
          <xdr:nvSpPr>
            <xdr:cNvPr id="10" name="TextBox 9">
              <a:extLst>
                <a:ext uri="{FF2B5EF4-FFF2-40B4-BE49-F238E27FC236}">
                  <a16:creationId xmlns:a16="http://schemas.microsoft.com/office/drawing/2014/main" id="{D6244FDC-3866-4B7C-BCDE-54E0A9522E0F}"/>
                </a:ext>
              </a:extLst>
            </xdr:cNvPr>
            <xdr:cNvSpPr txBox="1"/>
          </xdr:nvSpPr>
          <xdr:spPr>
            <a:xfrm>
              <a:off x="2262189" y="833437"/>
              <a:ext cx="833438" cy="55959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7D1EA9-0C3E-4B70-9B73-EA1906A41BF6}" type="TxLink">
                <a:rPr lang="en-US" sz="3200" b="1" i="0" u="none" strike="noStrike">
                  <a:solidFill>
                    <a:srgbClr val="000000"/>
                  </a:solidFill>
                  <a:latin typeface="Calibri"/>
                  <a:cs typeface="Calibri"/>
                </a:rPr>
                <a:pPr/>
                <a:t>200</a:t>
              </a:fld>
              <a:endParaRPr lang="en-US" sz="3200" b="1"/>
            </a:p>
          </xdr:txBody>
        </xdr:sp>
        <xdr:sp macro="" textlink="">
          <xdr:nvSpPr>
            <xdr:cNvPr id="11" name="TextBox 10">
              <a:extLst>
                <a:ext uri="{FF2B5EF4-FFF2-40B4-BE49-F238E27FC236}">
                  <a16:creationId xmlns:a16="http://schemas.microsoft.com/office/drawing/2014/main" id="{75936A84-66CF-4042-8874-45515219130C}"/>
                </a:ext>
              </a:extLst>
            </xdr:cNvPr>
            <xdr:cNvSpPr txBox="1"/>
          </xdr:nvSpPr>
          <xdr:spPr>
            <a:xfrm>
              <a:off x="2143124" y="1345406"/>
              <a:ext cx="1702594" cy="3214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Order </a:t>
              </a:r>
              <a:endParaRPr lang="en-US" sz="1600" b="1"/>
            </a:p>
          </xdr:txBody>
        </xdr:sp>
        <xdr:pic>
          <xdr:nvPicPr>
            <xdr:cNvPr id="13" name="Graphic 12" descr="Box">
              <a:extLst>
                <a:ext uri="{FF2B5EF4-FFF2-40B4-BE49-F238E27FC236}">
                  <a16:creationId xmlns:a16="http://schemas.microsoft.com/office/drawing/2014/main" id="{CB8E3A8C-608B-4768-B96E-BE29E11C22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21096224">
              <a:off x="3250407" y="881062"/>
              <a:ext cx="750094" cy="750094"/>
            </a:xfrm>
            <a:prstGeom prst="rect">
              <a:avLst/>
            </a:prstGeom>
          </xdr:spPr>
        </xdr:pic>
      </xdr:grpSp>
      <xdr:grpSp>
        <xdr:nvGrpSpPr>
          <xdr:cNvPr id="25" name="Group 24">
            <a:extLst>
              <a:ext uri="{FF2B5EF4-FFF2-40B4-BE49-F238E27FC236}">
                <a16:creationId xmlns:a16="http://schemas.microsoft.com/office/drawing/2014/main" id="{8FD272AD-4847-422E-833C-71137A42B772}"/>
              </a:ext>
            </a:extLst>
          </xdr:cNvPr>
          <xdr:cNvGrpSpPr/>
        </xdr:nvGrpSpPr>
        <xdr:grpSpPr>
          <a:xfrm>
            <a:off x="9565482" y="992980"/>
            <a:ext cx="2079625" cy="1131093"/>
            <a:chOff x="2035968" y="797719"/>
            <a:chExt cx="2095500" cy="1131093"/>
          </a:xfrm>
          <a:solidFill>
            <a:schemeClr val="accent5">
              <a:lumMod val="20000"/>
              <a:lumOff val="80000"/>
            </a:schemeClr>
          </a:solidFill>
          <a:effectLst>
            <a:outerShdw blurRad="63500" sx="102000" sy="102000" algn="ctr" rotWithShape="0">
              <a:prstClr val="black">
                <a:alpha val="40000"/>
              </a:prstClr>
            </a:outerShdw>
          </a:effectLst>
        </xdr:grpSpPr>
        <xdr:sp macro="" textlink="">
          <xdr:nvSpPr>
            <xdr:cNvPr id="26" name="Rectangle: Rounded Corners 25">
              <a:extLst>
                <a:ext uri="{FF2B5EF4-FFF2-40B4-BE49-F238E27FC236}">
                  <a16:creationId xmlns:a16="http://schemas.microsoft.com/office/drawing/2014/main" id="{2D45FA70-8B23-4359-A92D-77EEA60095DE}"/>
                </a:ext>
              </a:extLst>
            </xdr:cNvPr>
            <xdr:cNvSpPr/>
          </xdr:nvSpPr>
          <xdr:spPr>
            <a:xfrm>
              <a:off x="2035968" y="797719"/>
              <a:ext cx="2095500" cy="1131093"/>
            </a:xfrm>
            <a:prstGeom prst="roundRect">
              <a:avLst>
                <a:gd name="adj" fmla="val 8246"/>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E8">
          <xdr:nvSpPr>
            <xdr:cNvPr id="27" name="TextBox 26">
              <a:extLst>
                <a:ext uri="{FF2B5EF4-FFF2-40B4-BE49-F238E27FC236}">
                  <a16:creationId xmlns:a16="http://schemas.microsoft.com/office/drawing/2014/main" id="{899C00B6-DD2F-4E93-81B8-5FF052BCA064}"/>
                </a:ext>
              </a:extLst>
            </xdr:cNvPr>
            <xdr:cNvSpPr txBox="1"/>
          </xdr:nvSpPr>
          <xdr:spPr>
            <a:xfrm>
              <a:off x="2095498" y="916781"/>
              <a:ext cx="1495423" cy="55959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432C49-C35C-49BF-A97B-789A5CBB248C}" type="TxLink">
                <a:rPr lang="en-US" sz="2800" b="1" i="0" u="none" strike="noStrike">
                  <a:solidFill>
                    <a:srgbClr val="000000"/>
                  </a:solidFill>
                  <a:latin typeface="Calibri"/>
                  <a:cs typeface="Calibri"/>
                </a:rPr>
                <a:pPr/>
                <a:t>0.135 K</a:t>
              </a:fld>
              <a:endParaRPr lang="en-US" sz="6600" b="1"/>
            </a:p>
          </xdr:txBody>
        </xdr:sp>
        <xdr:sp macro="" textlink="">
          <xdr:nvSpPr>
            <xdr:cNvPr id="28" name="TextBox 27">
              <a:extLst>
                <a:ext uri="{FF2B5EF4-FFF2-40B4-BE49-F238E27FC236}">
                  <a16:creationId xmlns:a16="http://schemas.microsoft.com/office/drawing/2014/main" id="{61FDB977-6EC2-48F2-A3CC-A095CA4390E0}"/>
                </a:ext>
              </a:extLst>
            </xdr:cNvPr>
            <xdr:cNvSpPr txBox="1"/>
          </xdr:nvSpPr>
          <xdr:spPr>
            <a:xfrm>
              <a:off x="2143125" y="1345406"/>
              <a:ext cx="1702594" cy="3214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Min</a:t>
              </a:r>
              <a:r>
                <a:rPr lang="en-US" sz="1600" b="1" baseline="0"/>
                <a:t> Amount</a:t>
              </a:r>
            </a:p>
          </xdr:txBody>
        </xdr:sp>
      </xdr:grpSp>
      <xdr:grpSp>
        <xdr:nvGrpSpPr>
          <xdr:cNvPr id="30" name="Group 29">
            <a:extLst>
              <a:ext uri="{FF2B5EF4-FFF2-40B4-BE49-F238E27FC236}">
                <a16:creationId xmlns:a16="http://schemas.microsoft.com/office/drawing/2014/main" id="{BF4ABC20-B25F-4164-AC63-BAE849477903}"/>
              </a:ext>
            </a:extLst>
          </xdr:cNvPr>
          <xdr:cNvGrpSpPr/>
        </xdr:nvGrpSpPr>
        <xdr:grpSpPr>
          <a:xfrm>
            <a:off x="11880852" y="990598"/>
            <a:ext cx="2079625" cy="1131093"/>
            <a:chOff x="2035969" y="797719"/>
            <a:chExt cx="2095499" cy="1131093"/>
          </a:xfrm>
          <a:solidFill>
            <a:schemeClr val="accent5">
              <a:lumMod val="20000"/>
              <a:lumOff val="80000"/>
            </a:schemeClr>
          </a:solidFill>
          <a:effectLst>
            <a:outerShdw blurRad="63500" sx="102000" sy="102000" algn="ctr" rotWithShape="0">
              <a:prstClr val="black">
                <a:alpha val="40000"/>
              </a:prstClr>
            </a:outerShdw>
          </a:effectLst>
        </xdr:grpSpPr>
        <xdr:sp macro="" textlink="">
          <xdr:nvSpPr>
            <xdr:cNvPr id="31" name="Rectangle: Rounded Corners 30">
              <a:extLst>
                <a:ext uri="{FF2B5EF4-FFF2-40B4-BE49-F238E27FC236}">
                  <a16:creationId xmlns:a16="http://schemas.microsoft.com/office/drawing/2014/main" id="{CA1D98EC-29F9-4B76-A34A-4BD02200FDC9}"/>
                </a:ext>
              </a:extLst>
            </xdr:cNvPr>
            <xdr:cNvSpPr/>
          </xdr:nvSpPr>
          <xdr:spPr>
            <a:xfrm>
              <a:off x="2035969" y="797719"/>
              <a:ext cx="2095499" cy="1131093"/>
            </a:xfrm>
            <a:prstGeom prst="roundRect">
              <a:avLst>
                <a:gd name="adj" fmla="val 8246"/>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F8">
          <xdr:nvSpPr>
            <xdr:cNvPr id="32" name="TextBox 31">
              <a:extLst>
                <a:ext uri="{FF2B5EF4-FFF2-40B4-BE49-F238E27FC236}">
                  <a16:creationId xmlns:a16="http://schemas.microsoft.com/office/drawing/2014/main" id="{80856827-6DA7-4B56-BB2F-B7E04A265E78}"/>
                </a:ext>
              </a:extLst>
            </xdr:cNvPr>
            <xdr:cNvSpPr txBox="1"/>
          </xdr:nvSpPr>
          <xdr:spPr>
            <a:xfrm>
              <a:off x="2678905" y="821531"/>
              <a:ext cx="833438" cy="6048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C763B2-FA00-4C29-A2B8-AC5049E5C0FB}" type="TxLink">
                <a:rPr lang="en-US" sz="3600" b="1" i="0" u="none" strike="noStrike">
                  <a:solidFill>
                    <a:srgbClr val="000000"/>
                  </a:solidFill>
                  <a:latin typeface="Calibri"/>
                  <a:cs typeface="Calibri"/>
                </a:rPr>
                <a:pPr/>
                <a:t>30</a:t>
              </a:fld>
              <a:endParaRPr lang="en-US" sz="8000" b="1"/>
            </a:p>
          </xdr:txBody>
        </xdr:sp>
        <xdr:sp macro="" textlink="">
          <xdr:nvSpPr>
            <xdr:cNvPr id="33" name="TextBox 32">
              <a:extLst>
                <a:ext uri="{FF2B5EF4-FFF2-40B4-BE49-F238E27FC236}">
                  <a16:creationId xmlns:a16="http://schemas.microsoft.com/office/drawing/2014/main" id="{009680B3-43DE-4DCA-AC4D-3063F6D7FD08}"/>
                </a:ext>
              </a:extLst>
            </xdr:cNvPr>
            <xdr:cNvSpPr txBox="1"/>
          </xdr:nvSpPr>
          <xdr:spPr>
            <a:xfrm>
              <a:off x="2286001" y="1309686"/>
              <a:ext cx="1702594" cy="3214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No</a:t>
              </a:r>
              <a:r>
                <a:rPr lang="en-US" sz="1600" b="1" baseline="0"/>
                <a:t> of </a:t>
              </a:r>
              <a:r>
                <a:rPr lang="en-US" sz="1800" b="1" baseline="0"/>
                <a:t>Products</a:t>
              </a:r>
              <a:endParaRPr lang="en-US" sz="1600" b="1"/>
            </a:p>
          </xdr:txBody>
        </xdr:sp>
      </xdr:grpSp>
      <xdr:grpSp>
        <xdr:nvGrpSpPr>
          <xdr:cNvPr id="40" name="Group 39">
            <a:extLst>
              <a:ext uri="{FF2B5EF4-FFF2-40B4-BE49-F238E27FC236}">
                <a16:creationId xmlns:a16="http://schemas.microsoft.com/office/drawing/2014/main" id="{E558705A-FFF2-4E2C-B044-2D9574F73A71}"/>
              </a:ext>
            </a:extLst>
          </xdr:cNvPr>
          <xdr:cNvGrpSpPr/>
        </xdr:nvGrpSpPr>
        <xdr:grpSpPr>
          <a:xfrm>
            <a:off x="4930776" y="997744"/>
            <a:ext cx="2083593" cy="1131093"/>
            <a:chOff x="4355305" y="807244"/>
            <a:chExt cx="2095499" cy="1131093"/>
          </a:xfrm>
          <a:solidFill>
            <a:schemeClr val="accent5">
              <a:lumMod val="20000"/>
              <a:lumOff val="80000"/>
            </a:schemeClr>
          </a:solidFill>
          <a:effectLst>
            <a:outerShdw blurRad="63500" sx="102000" sy="102000" algn="ctr" rotWithShape="0">
              <a:prstClr val="black">
                <a:alpha val="40000"/>
              </a:prstClr>
            </a:outerShdw>
          </a:effectLst>
        </xdr:grpSpPr>
        <xdr:grpSp>
          <xdr:nvGrpSpPr>
            <xdr:cNvPr id="15" name="Group 14">
              <a:extLst>
                <a:ext uri="{FF2B5EF4-FFF2-40B4-BE49-F238E27FC236}">
                  <a16:creationId xmlns:a16="http://schemas.microsoft.com/office/drawing/2014/main" id="{E8984A97-D093-4B4D-9008-0BD4A2F2B054}"/>
                </a:ext>
              </a:extLst>
            </xdr:cNvPr>
            <xdr:cNvGrpSpPr/>
          </xdr:nvGrpSpPr>
          <xdr:grpSpPr>
            <a:xfrm>
              <a:off x="4355305" y="807244"/>
              <a:ext cx="2095499" cy="1131093"/>
              <a:chOff x="2035969" y="797719"/>
              <a:chExt cx="2095500" cy="1131093"/>
            </a:xfrm>
            <a:grpFill/>
          </xdr:grpSpPr>
          <xdr:sp macro="" textlink="">
            <xdr:nvSpPr>
              <xdr:cNvPr id="16" name="Rectangle: Rounded Corners 15">
                <a:extLst>
                  <a:ext uri="{FF2B5EF4-FFF2-40B4-BE49-F238E27FC236}">
                    <a16:creationId xmlns:a16="http://schemas.microsoft.com/office/drawing/2014/main" id="{D198AC45-BD44-4B9F-91B2-BF28D777F9ED}"/>
                  </a:ext>
                </a:extLst>
              </xdr:cNvPr>
              <xdr:cNvSpPr/>
            </xdr:nvSpPr>
            <xdr:spPr>
              <a:xfrm>
                <a:off x="2035969" y="797719"/>
                <a:ext cx="2095500" cy="1131093"/>
              </a:xfrm>
              <a:prstGeom prst="roundRect">
                <a:avLst>
                  <a:gd name="adj" fmla="val 8246"/>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C8">
            <xdr:nvSpPr>
              <xdr:cNvPr id="17" name="TextBox 16">
                <a:extLst>
                  <a:ext uri="{FF2B5EF4-FFF2-40B4-BE49-F238E27FC236}">
                    <a16:creationId xmlns:a16="http://schemas.microsoft.com/office/drawing/2014/main" id="{571704F7-C695-4314-8E48-0825FF5D6E70}"/>
                  </a:ext>
                </a:extLst>
              </xdr:cNvPr>
              <xdr:cNvSpPr txBox="1"/>
            </xdr:nvSpPr>
            <xdr:spPr>
              <a:xfrm>
                <a:off x="2131218" y="857250"/>
                <a:ext cx="1371599" cy="55959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64B09D-3AEF-46DB-8479-124E949CB333}" type="TxLink">
                  <a:rPr lang="en-US" sz="3200" b="1" i="0" u="none" strike="noStrike">
                    <a:solidFill>
                      <a:srgbClr val="000000"/>
                    </a:solidFill>
                    <a:latin typeface="Calibri"/>
                    <a:cs typeface="Calibri"/>
                  </a:rPr>
                  <a:pPr/>
                  <a:t>2.11 M</a:t>
                </a:fld>
                <a:endParaRPr lang="en-US" sz="3200" b="1"/>
              </a:p>
            </xdr:txBody>
          </xdr:sp>
          <xdr:sp macro="" textlink="">
            <xdr:nvSpPr>
              <xdr:cNvPr id="18" name="TextBox 17">
                <a:extLst>
                  <a:ext uri="{FF2B5EF4-FFF2-40B4-BE49-F238E27FC236}">
                    <a16:creationId xmlns:a16="http://schemas.microsoft.com/office/drawing/2014/main" id="{195D99C5-E009-4A2F-A861-6480DCF6BD4E}"/>
                  </a:ext>
                </a:extLst>
              </xdr:cNvPr>
              <xdr:cNvSpPr txBox="1"/>
            </xdr:nvSpPr>
            <xdr:spPr>
              <a:xfrm>
                <a:off x="2143125" y="1345406"/>
                <a:ext cx="1702594" cy="3214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Amount</a:t>
                </a:r>
                <a:endParaRPr lang="en-US" sz="1600" b="1"/>
              </a:p>
            </xdr:txBody>
          </xdr:sp>
        </xdr:grpSp>
        <xdr:pic>
          <xdr:nvPicPr>
            <xdr:cNvPr id="6" name="Graphic 5" descr="Money">
              <a:extLst>
                <a:ext uri="{FF2B5EF4-FFF2-40B4-BE49-F238E27FC236}">
                  <a16:creationId xmlns:a16="http://schemas.microsoft.com/office/drawing/2014/main" id="{CC3B7D37-ACAF-476C-8CD6-862695206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rot="19006383">
              <a:off x="5703092" y="1000124"/>
              <a:ext cx="678657" cy="678657"/>
            </a:xfrm>
            <a:prstGeom prst="rect">
              <a:avLst/>
            </a:prstGeom>
          </xdr:spPr>
        </xdr:pic>
      </xdr:grpSp>
      <xdr:grpSp>
        <xdr:nvGrpSpPr>
          <xdr:cNvPr id="20" name="Group 19">
            <a:extLst>
              <a:ext uri="{FF2B5EF4-FFF2-40B4-BE49-F238E27FC236}">
                <a16:creationId xmlns:a16="http://schemas.microsoft.com/office/drawing/2014/main" id="{2710F152-F2F1-44AC-B8AD-EC823F304C84}"/>
              </a:ext>
            </a:extLst>
          </xdr:cNvPr>
          <xdr:cNvGrpSpPr/>
        </xdr:nvGrpSpPr>
        <xdr:grpSpPr>
          <a:xfrm>
            <a:off x="7246144" y="995362"/>
            <a:ext cx="2083594" cy="1131093"/>
            <a:chOff x="2035968" y="797719"/>
            <a:chExt cx="2095500" cy="1131093"/>
          </a:xfrm>
          <a:solidFill>
            <a:schemeClr val="accent5">
              <a:lumMod val="20000"/>
              <a:lumOff val="80000"/>
            </a:schemeClr>
          </a:solidFill>
          <a:effectLst>
            <a:outerShdw blurRad="63500" sx="102000" sy="102000" algn="ctr" rotWithShape="0">
              <a:prstClr val="black">
                <a:alpha val="40000"/>
              </a:prstClr>
            </a:outerShdw>
          </a:effectLst>
        </xdr:grpSpPr>
        <xdr:sp macro="" textlink="">
          <xdr:nvSpPr>
            <xdr:cNvPr id="21" name="Rectangle: Rounded Corners 20">
              <a:extLst>
                <a:ext uri="{FF2B5EF4-FFF2-40B4-BE49-F238E27FC236}">
                  <a16:creationId xmlns:a16="http://schemas.microsoft.com/office/drawing/2014/main" id="{BC8AFC4C-F0FC-4CB7-ADD5-334D15B5DF43}"/>
                </a:ext>
              </a:extLst>
            </xdr:cNvPr>
            <xdr:cNvSpPr/>
          </xdr:nvSpPr>
          <xdr:spPr>
            <a:xfrm>
              <a:off x="2035969" y="797719"/>
              <a:ext cx="2095499" cy="1131093"/>
            </a:xfrm>
            <a:prstGeom prst="roundRect">
              <a:avLst>
                <a:gd name="adj" fmla="val 8246"/>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8">
          <xdr:nvSpPr>
            <xdr:cNvPr id="22" name="TextBox 21">
              <a:extLst>
                <a:ext uri="{FF2B5EF4-FFF2-40B4-BE49-F238E27FC236}">
                  <a16:creationId xmlns:a16="http://schemas.microsoft.com/office/drawing/2014/main" id="{A340D14B-7587-4784-90F8-7CCE41D39192}"/>
                </a:ext>
              </a:extLst>
            </xdr:cNvPr>
            <xdr:cNvSpPr txBox="1"/>
          </xdr:nvSpPr>
          <xdr:spPr>
            <a:xfrm>
              <a:off x="2035968" y="904873"/>
              <a:ext cx="1624012" cy="61198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B12CC8-51C2-430A-9063-9439B59CE149}" type="TxLink">
                <a:rPr lang="en-US" sz="2800" b="1" i="0" u="none" strike="noStrike">
                  <a:solidFill>
                    <a:srgbClr val="000000"/>
                  </a:solidFill>
                  <a:latin typeface="Calibri"/>
                  <a:cs typeface="Calibri"/>
                </a:rPr>
                <a:pPr/>
                <a:t>74.637 K</a:t>
              </a:fld>
              <a:endParaRPr lang="en-US" sz="6600" b="1"/>
            </a:p>
          </xdr:txBody>
        </xdr:sp>
        <xdr:sp macro="" textlink="">
          <xdr:nvSpPr>
            <xdr:cNvPr id="23" name="TextBox 22">
              <a:extLst>
                <a:ext uri="{FF2B5EF4-FFF2-40B4-BE49-F238E27FC236}">
                  <a16:creationId xmlns:a16="http://schemas.microsoft.com/office/drawing/2014/main" id="{F70C0CC6-4954-4F81-96A5-2615D1476890}"/>
                </a:ext>
              </a:extLst>
            </xdr:cNvPr>
            <xdr:cNvSpPr txBox="1"/>
          </xdr:nvSpPr>
          <xdr:spPr>
            <a:xfrm>
              <a:off x="2131219" y="1345406"/>
              <a:ext cx="1702594" cy="3214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Max</a:t>
              </a:r>
              <a:r>
                <a:rPr lang="en-US" sz="1600" b="1" baseline="0"/>
                <a:t> Amount</a:t>
              </a:r>
              <a:endParaRPr lang="en-US" sz="1600" b="1"/>
            </a:p>
          </xdr:txBody>
        </xdr:sp>
      </xdr:grpSp>
    </xdr:grpSp>
    <xdr:clientData/>
  </xdr:twoCellAnchor>
  <xdr:twoCellAnchor>
    <xdr:from>
      <xdr:col>14</xdr:col>
      <xdr:colOff>190500</xdr:colOff>
      <xdr:row>6</xdr:row>
      <xdr:rowOff>59531</xdr:rowOff>
    </xdr:from>
    <xdr:to>
      <xdr:col>15</xdr:col>
      <xdr:colOff>261937</xdr:colOff>
      <xdr:row>9</xdr:row>
      <xdr:rowOff>166687</xdr:rowOff>
    </xdr:to>
    <xdr:pic>
      <xdr:nvPicPr>
        <xdr:cNvPr id="12" name="Graphic 11" descr="Bar graph with upward trend">
          <a:extLst>
            <a:ext uri="{FF2B5EF4-FFF2-40B4-BE49-F238E27FC236}">
              <a16:creationId xmlns:a16="http://schemas.microsoft.com/office/drawing/2014/main" id="{3B2A01DA-89EF-45D3-89DE-4F8F942091E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084344" y="1012031"/>
          <a:ext cx="678656" cy="678656"/>
        </a:xfrm>
        <a:prstGeom prst="rect">
          <a:avLst/>
        </a:prstGeom>
      </xdr:spPr>
    </xdr:pic>
    <xdr:clientData/>
  </xdr:twoCellAnchor>
  <xdr:twoCellAnchor editAs="oneCell">
    <xdr:from>
      <xdr:col>18</xdr:col>
      <xdr:colOff>0</xdr:colOff>
      <xdr:row>6</xdr:row>
      <xdr:rowOff>11907</xdr:rowOff>
    </xdr:from>
    <xdr:to>
      <xdr:col>19</xdr:col>
      <xdr:colOff>154781</xdr:colOff>
      <xdr:row>10</xdr:row>
      <xdr:rowOff>11907</xdr:rowOff>
    </xdr:to>
    <xdr:pic>
      <xdr:nvPicPr>
        <xdr:cNvPr id="35" name="Graphic 34" descr="Bar graph with downward trend">
          <a:extLst>
            <a:ext uri="{FF2B5EF4-FFF2-40B4-BE49-F238E27FC236}">
              <a16:creationId xmlns:a16="http://schemas.microsoft.com/office/drawing/2014/main" id="{9D515393-C060-4906-A17B-1EB5EB0E16E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929938" y="1154907"/>
          <a:ext cx="761999" cy="762000"/>
        </a:xfrm>
        <a:prstGeom prst="rect">
          <a:avLst/>
        </a:prstGeom>
      </xdr:spPr>
    </xdr:pic>
    <xdr:clientData/>
  </xdr:twoCellAnchor>
  <xdr:twoCellAnchor>
    <xdr:from>
      <xdr:col>11</xdr:col>
      <xdr:colOff>497417</xdr:colOff>
      <xdr:row>27</xdr:row>
      <xdr:rowOff>97631</xdr:rowOff>
    </xdr:from>
    <xdr:to>
      <xdr:col>18</xdr:col>
      <xdr:colOff>247650</xdr:colOff>
      <xdr:row>46</xdr:row>
      <xdr:rowOff>174625</xdr:rowOff>
    </xdr:to>
    <xdr:grpSp>
      <xdr:nvGrpSpPr>
        <xdr:cNvPr id="5" name="Group 4">
          <a:extLst>
            <a:ext uri="{FF2B5EF4-FFF2-40B4-BE49-F238E27FC236}">
              <a16:creationId xmlns:a16="http://schemas.microsoft.com/office/drawing/2014/main" id="{EEDEF188-B4A4-43EA-9293-E2B56318D790}"/>
            </a:ext>
          </a:extLst>
        </xdr:cNvPr>
        <xdr:cNvGrpSpPr/>
      </xdr:nvGrpSpPr>
      <xdr:grpSpPr>
        <a:xfrm>
          <a:off x="7133167" y="5241131"/>
          <a:ext cx="3972983" cy="3696494"/>
          <a:chOff x="1976438" y="2035969"/>
          <a:chExt cx="5453062" cy="2940843"/>
        </a:xfrm>
        <a:solidFill>
          <a:schemeClr val="accent5">
            <a:lumMod val="20000"/>
            <a:lumOff val="80000"/>
          </a:schemeClr>
        </a:solidFill>
      </xdr:grpSpPr>
      <xdr:sp macro="" textlink="">
        <xdr:nvSpPr>
          <xdr:cNvPr id="53" name="Rectangle: Rounded Corners 52">
            <a:extLst>
              <a:ext uri="{FF2B5EF4-FFF2-40B4-BE49-F238E27FC236}">
                <a16:creationId xmlns:a16="http://schemas.microsoft.com/office/drawing/2014/main" id="{E78DE4CB-8155-4B1A-8B62-077BE5189FCC}"/>
              </a:ext>
            </a:extLst>
          </xdr:cNvPr>
          <xdr:cNvSpPr/>
        </xdr:nvSpPr>
        <xdr:spPr>
          <a:xfrm>
            <a:off x="1988343" y="2047873"/>
            <a:ext cx="5441157" cy="2869407"/>
          </a:xfrm>
          <a:prstGeom prst="roundRect">
            <a:avLst>
              <a:gd name="adj" fmla="val 3734"/>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8FFD0B25-ECBB-4D43-9252-75C585E47A61}"/>
              </a:ext>
            </a:extLst>
          </xdr:cNvPr>
          <xdr:cNvGraphicFramePr>
            <a:graphicFrameLocks/>
          </xdr:cNvGraphicFramePr>
        </xdr:nvGraphicFramePr>
        <xdr:xfrm>
          <a:off x="1976438" y="2035969"/>
          <a:ext cx="5405438" cy="294084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14</xdr:col>
      <xdr:colOff>68035</xdr:colOff>
      <xdr:row>11</xdr:row>
      <xdr:rowOff>176211</xdr:rowOff>
    </xdr:from>
    <xdr:to>
      <xdr:col>23</xdr:col>
      <xdr:colOff>92869</xdr:colOff>
      <xdr:row>26</xdr:row>
      <xdr:rowOff>188118</xdr:rowOff>
    </xdr:to>
    <xdr:sp macro="" textlink="">
      <xdr:nvSpPr>
        <xdr:cNvPr id="34" name="Rectangle: Rounded Corners 33">
          <a:extLst>
            <a:ext uri="{FF2B5EF4-FFF2-40B4-BE49-F238E27FC236}">
              <a16:creationId xmlns:a16="http://schemas.microsoft.com/office/drawing/2014/main" id="{47B1E4EF-A4DF-4051-80F4-FF56BF0CD7B8}"/>
            </a:ext>
          </a:extLst>
        </xdr:cNvPr>
        <xdr:cNvSpPr/>
      </xdr:nvSpPr>
      <xdr:spPr>
        <a:xfrm>
          <a:off x="8028214" y="2081211"/>
          <a:ext cx="5535726" cy="2869407"/>
        </a:xfrm>
        <a:prstGeom prst="roundRect">
          <a:avLst>
            <a:gd name="adj" fmla="val 3734"/>
          </a:avLst>
        </a:prstGeom>
        <a:solidFill>
          <a:schemeClr val="accent5">
            <a:lumMod val="20000"/>
            <a:lumOff val="8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116679</xdr:colOff>
      <xdr:row>11</xdr:row>
      <xdr:rowOff>176210</xdr:rowOff>
    </xdr:from>
    <xdr:to>
      <xdr:col>23</xdr:col>
      <xdr:colOff>142873</xdr:colOff>
      <xdr:row>27</xdr:row>
      <xdr:rowOff>11905</xdr:rowOff>
    </xdr:to>
    <xdr:graphicFrame macro="">
      <xdr:nvGraphicFramePr>
        <xdr:cNvPr id="36" name="Chart 35">
          <a:extLst>
            <a:ext uri="{FF2B5EF4-FFF2-40B4-BE49-F238E27FC236}">
              <a16:creationId xmlns:a16="http://schemas.microsoft.com/office/drawing/2014/main" id="{B987D890-4718-460C-9115-3C5084C45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152399</xdr:colOff>
      <xdr:row>11</xdr:row>
      <xdr:rowOff>157160</xdr:rowOff>
    </xdr:from>
    <xdr:to>
      <xdr:col>13</xdr:col>
      <xdr:colOff>533400</xdr:colOff>
      <xdr:row>27</xdr:row>
      <xdr:rowOff>0</xdr:rowOff>
    </xdr:to>
    <xdr:grpSp>
      <xdr:nvGrpSpPr>
        <xdr:cNvPr id="7" name="Group 6">
          <a:extLst>
            <a:ext uri="{FF2B5EF4-FFF2-40B4-BE49-F238E27FC236}">
              <a16:creationId xmlns:a16="http://schemas.microsoft.com/office/drawing/2014/main" id="{EBC64CFD-BE24-4226-ADBE-5462E844C16E}"/>
            </a:ext>
          </a:extLst>
        </xdr:cNvPr>
        <xdr:cNvGrpSpPr/>
      </xdr:nvGrpSpPr>
      <xdr:grpSpPr>
        <a:xfrm>
          <a:off x="2565399" y="2252660"/>
          <a:ext cx="5810251" cy="2890840"/>
          <a:chOff x="7981949" y="5148260"/>
          <a:chExt cx="5560220" cy="3040858"/>
        </a:xfrm>
        <a:solidFill>
          <a:schemeClr val="accent5">
            <a:lumMod val="20000"/>
            <a:lumOff val="80000"/>
          </a:schemeClr>
        </a:solidFill>
      </xdr:grpSpPr>
      <xdr:sp macro="" textlink="">
        <xdr:nvSpPr>
          <xdr:cNvPr id="41" name="Rectangle: Rounded Corners 40">
            <a:extLst>
              <a:ext uri="{FF2B5EF4-FFF2-40B4-BE49-F238E27FC236}">
                <a16:creationId xmlns:a16="http://schemas.microsoft.com/office/drawing/2014/main" id="{14E644E2-E205-47CB-9ADC-DF39541E6DE9}"/>
              </a:ext>
            </a:extLst>
          </xdr:cNvPr>
          <xdr:cNvSpPr/>
        </xdr:nvSpPr>
        <xdr:spPr>
          <a:xfrm>
            <a:off x="7981950" y="5148260"/>
            <a:ext cx="5560219" cy="3040858"/>
          </a:xfrm>
          <a:prstGeom prst="roundRect">
            <a:avLst>
              <a:gd name="adj" fmla="val 3734"/>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3" name="Chart 42">
            <a:extLst>
              <a:ext uri="{FF2B5EF4-FFF2-40B4-BE49-F238E27FC236}">
                <a16:creationId xmlns:a16="http://schemas.microsoft.com/office/drawing/2014/main" id="{35BE3AEE-BA5B-4F4C-81D7-9A59D4BD79C3}"/>
              </a:ext>
            </a:extLst>
          </xdr:cNvPr>
          <xdr:cNvGraphicFramePr>
            <a:graphicFrameLocks/>
          </xdr:cNvGraphicFramePr>
        </xdr:nvGraphicFramePr>
        <xdr:xfrm>
          <a:off x="7981949" y="5148260"/>
          <a:ext cx="5548312" cy="303133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4</xdr:col>
      <xdr:colOff>191558</xdr:colOff>
      <xdr:row>27</xdr:row>
      <xdr:rowOff>69848</xdr:rowOff>
    </xdr:from>
    <xdr:to>
      <xdr:col>11</xdr:col>
      <xdr:colOff>390525</xdr:colOff>
      <xdr:row>46</xdr:row>
      <xdr:rowOff>111125</xdr:rowOff>
    </xdr:to>
    <xdr:sp macro="" textlink="">
      <xdr:nvSpPr>
        <xdr:cNvPr id="37" name="Rectangle: Rounded Corners 36">
          <a:extLst>
            <a:ext uri="{FF2B5EF4-FFF2-40B4-BE49-F238E27FC236}">
              <a16:creationId xmlns:a16="http://schemas.microsoft.com/office/drawing/2014/main" id="{E9E982CD-3636-4DD7-8D47-D76A2A8C0E64}"/>
            </a:ext>
          </a:extLst>
        </xdr:cNvPr>
        <xdr:cNvSpPr/>
      </xdr:nvSpPr>
      <xdr:spPr>
        <a:xfrm>
          <a:off x="2001308" y="5022848"/>
          <a:ext cx="4421717" cy="3660777"/>
        </a:xfrm>
        <a:prstGeom prst="roundRect">
          <a:avLst>
            <a:gd name="adj" fmla="val 3734"/>
          </a:avLst>
        </a:prstGeom>
        <a:solidFill>
          <a:schemeClr val="accent5">
            <a:lumMod val="20000"/>
            <a:lumOff val="80000"/>
          </a:schemeClr>
        </a:solidFill>
        <a:ln>
          <a:solidFill>
            <a:schemeClr val="accent5">
              <a:lumMod val="20000"/>
              <a:lumOff val="80000"/>
            </a:schemeClr>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359271</xdr:colOff>
      <xdr:row>27</xdr:row>
      <xdr:rowOff>142672</xdr:rowOff>
    </xdr:from>
    <xdr:to>
      <xdr:col>23</xdr:col>
      <xdr:colOff>163286</xdr:colOff>
      <xdr:row>46</xdr:row>
      <xdr:rowOff>111125</xdr:rowOff>
    </xdr:to>
    <xdr:sp macro="" textlink="">
      <xdr:nvSpPr>
        <xdr:cNvPr id="48" name="Rectangle: Rounded Corners 47">
          <a:extLst>
            <a:ext uri="{FF2B5EF4-FFF2-40B4-BE49-F238E27FC236}">
              <a16:creationId xmlns:a16="http://schemas.microsoft.com/office/drawing/2014/main" id="{318E1CC3-9524-4256-9B82-E5841D85C536}"/>
            </a:ext>
          </a:extLst>
        </xdr:cNvPr>
        <xdr:cNvSpPr/>
      </xdr:nvSpPr>
      <xdr:spPr>
        <a:xfrm>
          <a:off x="10614521" y="5095672"/>
          <a:ext cx="2820265" cy="3587953"/>
        </a:xfrm>
        <a:prstGeom prst="roundRect">
          <a:avLst>
            <a:gd name="adj" fmla="val 7533"/>
          </a:avLst>
        </a:prstGeom>
        <a:solidFill>
          <a:schemeClr val="accent5">
            <a:lumMod val="20000"/>
            <a:lumOff val="8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269422</xdr:colOff>
      <xdr:row>29</xdr:row>
      <xdr:rowOff>155122</xdr:rowOff>
    </xdr:from>
    <xdr:to>
      <xdr:col>24</xdr:col>
      <xdr:colOff>258536</xdr:colOff>
      <xdr:row>43</xdr:row>
      <xdr:rowOff>136072</xdr:rowOff>
    </xdr:to>
    <xdr:graphicFrame macro="">
      <xdr:nvGraphicFramePr>
        <xdr:cNvPr id="46" name="Chart 45">
          <a:extLst>
            <a:ext uri="{FF2B5EF4-FFF2-40B4-BE49-F238E27FC236}">
              <a16:creationId xmlns:a16="http://schemas.microsoft.com/office/drawing/2014/main" id="{53F084F4-27AA-4386-AEBF-9934A394A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254000</xdr:colOff>
      <xdr:row>28</xdr:row>
      <xdr:rowOff>31750</xdr:rowOff>
    </xdr:from>
    <xdr:to>
      <xdr:col>11</xdr:col>
      <xdr:colOff>444500</xdr:colOff>
      <xdr:row>46</xdr:row>
      <xdr:rowOff>158750</xdr:rowOff>
    </xdr:to>
    <xdr:graphicFrame macro="">
      <xdr:nvGraphicFramePr>
        <xdr:cNvPr id="47" name="Chart 46">
          <a:extLst>
            <a:ext uri="{FF2B5EF4-FFF2-40B4-BE49-F238E27FC236}">
              <a16:creationId xmlns:a16="http://schemas.microsoft.com/office/drawing/2014/main" id="{DC540DB0-53C3-43DA-92C2-E92F553BE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206375</xdr:colOff>
      <xdr:row>4</xdr:row>
      <xdr:rowOff>76200</xdr:rowOff>
    </xdr:from>
    <xdr:to>
      <xdr:col>3</xdr:col>
      <xdr:colOff>396875</xdr:colOff>
      <xdr:row>15</xdr:row>
      <xdr:rowOff>127000</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28FB135A-4C66-4FF7-9CA3-3E5ABB1221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6375" y="838200"/>
              <a:ext cx="2000250" cy="214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206375</xdr:colOff>
      <xdr:row>16</xdr:row>
      <xdr:rowOff>187325</xdr:rowOff>
    </xdr:from>
    <xdr:to>
      <xdr:col>3</xdr:col>
      <xdr:colOff>396875</xdr:colOff>
      <xdr:row>31</xdr:row>
      <xdr:rowOff>0</xdr:rowOff>
    </xdr:to>
    <mc:AlternateContent xmlns:mc="http://schemas.openxmlformats.org/markup-compatibility/2006">
      <mc:Choice xmlns:a14="http://schemas.microsoft.com/office/drawing/2010/main" Requires="a14">
        <xdr:graphicFrame macro="">
          <xdr:nvGraphicFramePr>
            <xdr:cNvPr id="24" name="payment_method">
              <a:extLst>
                <a:ext uri="{FF2B5EF4-FFF2-40B4-BE49-F238E27FC236}">
                  <a16:creationId xmlns:a16="http://schemas.microsoft.com/office/drawing/2014/main" id="{4B9261B9-C195-41C0-9F85-88BADF59E66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206375" y="3235325"/>
              <a:ext cx="2000250"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561975</xdr:colOff>
      <xdr:row>0</xdr:row>
      <xdr:rowOff>107950</xdr:rowOff>
    </xdr:from>
    <xdr:to>
      <xdr:col>20</xdr:col>
      <xdr:colOff>539751</xdr:colOff>
      <xdr:row>3</xdr:row>
      <xdr:rowOff>103378</xdr:rowOff>
    </xdr:to>
    <mc:AlternateContent xmlns:mc="http://schemas.openxmlformats.org/markup-compatibility/2006">
      <mc:Choice xmlns:a14="http://schemas.microsoft.com/office/drawing/2010/main" Requires="a14">
        <xdr:graphicFrame macro="">
          <xdr:nvGraphicFramePr>
            <xdr:cNvPr id="29" name="gender">
              <a:extLst>
                <a:ext uri="{FF2B5EF4-FFF2-40B4-BE49-F238E27FC236}">
                  <a16:creationId xmlns:a16="http://schemas.microsoft.com/office/drawing/2014/main" id="{342BF676-F24B-48AF-8E75-89A8BAFE41E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991225" y="107950"/>
              <a:ext cx="6613526" cy="566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155574</xdr:colOff>
      <xdr:row>0</xdr:row>
      <xdr:rowOff>117475</xdr:rowOff>
    </xdr:from>
    <xdr:to>
      <xdr:col>9</xdr:col>
      <xdr:colOff>412876</xdr:colOff>
      <xdr:row>3</xdr:row>
      <xdr:rowOff>111125</xdr:rowOff>
    </xdr:to>
    <mc:AlternateContent xmlns:mc="http://schemas.openxmlformats.org/markup-compatibility/2006">
      <mc:Choice xmlns:a14="http://schemas.microsoft.com/office/drawing/2010/main" Requires="a14">
        <xdr:graphicFrame macro="">
          <xdr:nvGraphicFramePr>
            <xdr:cNvPr id="38" name="Years">
              <a:extLst>
                <a:ext uri="{FF2B5EF4-FFF2-40B4-BE49-F238E27FC236}">
                  <a16:creationId xmlns:a16="http://schemas.microsoft.com/office/drawing/2014/main" id="{6ED8D610-682E-4760-82A4-00F3447A521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2568574" y="117475"/>
              <a:ext cx="3273552" cy="56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76.737976273151" createdVersion="6" refreshedVersion="6" minRefreshableVersion="3" recordCount="200" xr:uid="{4235F831-5B20-4FAC-9B59-34BD5890F147}">
  <cacheSource type="worksheet">
    <worksheetSource name="ecommerce_store_dataset"/>
  </cacheSource>
  <cacheFields count="16">
    <cacheField name="order_id" numFmtId="0">
      <sharedItems/>
    </cacheField>
    <cacheField name="product_name" numFmtId="0">
      <sharedItems/>
    </cacheField>
    <cacheField name="category" numFmtId="0">
      <sharedItems count="4">
        <s v="Cosmetics"/>
        <s v="Home Appliances"/>
        <s v="Fashion"/>
        <s v="Stationary"/>
      </sharedItems>
    </cacheField>
    <cacheField name="price" numFmtId="165">
      <sharedItems containsSemiMixedTypes="0" containsString="0" containsNumber="1" minValue="133.13999999999999" maxValue="14994.53"/>
    </cacheField>
    <cacheField name="qty" numFmtId="0">
      <sharedItems containsSemiMixedTypes="0" containsString="0" containsNumber="1" containsInteger="1" minValue="1" maxValue="5"/>
    </cacheField>
    <cacheField name=" Amount" numFmtId="165">
      <sharedItems containsSemiMixedTypes="0" containsString="0" containsNumber="1" minValue="135.24" maxValue="74637.349999999991"/>
    </cacheField>
    <cacheField name="order_date" numFmtId="164">
      <sharedItems containsSemiMixedTypes="0" containsNonDate="0" containsDate="1" containsString="0" minDate="2025-01-02T00:00:00" maxDate="2026-01-02T00:00:00" count="154">
        <d v="2025-04-25T00:00:00"/>
        <d v="2025-11-05T00:00:00"/>
        <d v="2025-12-24T00:00:00"/>
        <d v="2025-06-26T00:00:00"/>
        <d v="2025-07-05T00:00:00"/>
        <d v="2025-05-23T00:00:00"/>
        <d v="2025-11-08T00:00:00"/>
        <d v="2025-12-17T00:00:00"/>
        <d v="2025-06-11T00:00:00"/>
        <d v="2025-10-26T00:00:00"/>
        <d v="2025-12-15T00:00:00"/>
        <d v="2025-01-02T00:00:00"/>
        <d v="2025-04-12T00:00:00"/>
        <d v="2025-03-06T00:00:00"/>
        <d v="2026-01-01T00:00:00"/>
        <d v="2025-01-11T00:00:00"/>
        <d v="2025-06-19T00:00:00"/>
        <d v="2025-07-28T00:00:00"/>
        <d v="2025-02-01T00:00:00"/>
        <d v="2025-08-25T00:00:00"/>
        <d v="2025-03-27T00:00:00"/>
        <d v="2025-05-16T00:00:00"/>
        <d v="2025-10-24T00:00:00"/>
        <d v="2025-03-22T00:00:00"/>
        <d v="2025-05-07T00:00:00"/>
        <d v="2025-05-03T00:00:00"/>
        <d v="2025-02-21T00:00:00"/>
        <d v="2025-08-13T00:00:00"/>
        <d v="2025-09-16T00:00:00"/>
        <d v="2025-11-23T00:00:00"/>
        <d v="2025-10-07T00:00:00"/>
        <d v="2025-07-03T00:00:00"/>
        <d v="2025-07-31T00:00:00"/>
        <d v="2025-07-15T00:00:00"/>
        <d v="2025-12-14T00:00:00"/>
        <d v="2025-08-11T00:00:00"/>
        <d v="2025-12-29T00:00:00"/>
        <d v="2025-11-16T00:00:00"/>
        <d v="2025-03-07T00:00:00"/>
        <d v="2025-05-27T00:00:00"/>
        <d v="2025-08-31T00:00:00"/>
        <d v="2025-12-11T00:00:00"/>
        <d v="2025-08-22T00:00:00"/>
        <d v="2025-08-06T00:00:00"/>
        <d v="2025-12-08T00:00:00"/>
        <d v="2025-03-23T00:00:00"/>
        <d v="2025-11-17T00:00:00"/>
        <d v="2025-02-11T00:00:00"/>
        <d v="2025-10-05T00:00:00"/>
        <d v="2025-06-02T00:00:00"/>
        <d v="2025-01-15T00:00:00"/>
        <d v="2025-02-12T00:00:00"/>
        <d v="2025-06-22T00:00:00"/>
        <d v="2025-12-09T00:00:00"/>
        <d v="2025-06-09T00:00:00"/>
        <d v="2025-12-20T00:00:00"/>
        <d v="2025-12-05T00:00:00"/>
        <d v="2025-11-22T00:00:00"/>
        <d v="2025-09-05T00:00:00"/>
        <d v="2025-08-26T00:00:00"/>
        <d v="2025-06-24T00:00:00"/>
        <d v="2025-10-12T00:00:00"/>
        <d v="2025-06-06T00:00:00"/>
        <d v="2025-12-26T00:00:00"/>
        <d v="2025-04-27T00:00:00"/>
        <d v="2025-05-30T00:00:00"/>
        <d v="2025-04-05T00:00:00"/>
        <d v="2025-03-19T00:00:00"/>
        <d v="2025-04-26T00:00:00"/>
        <d v="2025-11-09T00:00:00"/>
        <d v="2025-02-06T00:00:00"/>
        <d v="2025-05-17T00:00:00"/>
        <d v="2025-12-25T00:00:00"/>
        <d v="2025-05-09T00:00:00"/>
        <d v="2025-08-29T00:00:00"/>
        <d v="2025-06-20T00:00:00"/>
        <d v="2025-01-19T00:00:00"/>
        <d v="2025-09-23T00:00:00"/>
        <d v="2025-10-10T00:00:00"/>
        <d v="2025-09-18T00:00:00"/>
        <d v="2025-11-03T00:00:00"/>
        <d v="2025-05-25T00:00:00"/>
        <d v="2025-01-23T00:00:00"/>
        <d v="2025-09-15T00:00:00"/>
        <d v="2025-02-08T00:00:00"/>
        <d v="2025-07-14T00:00:00"/>
        <d v="2025-02-20T00:00:00"/>
        <d v="2025-08-27T00:00:00"/>
        <d v="2025-01-12T00:00:00"/>
        <d v="2025-04-28T00:00:00"/>
        <d v="2025-06-08T00:00:00"/>
        <d v="2025-04-13T00:00:00"/>
        <d v="2025-06-01T00:00:00"/>
        <d v="2025-07-07T00:00:00"/>
        <d v="2025-10-27T00:00:00"/>
        <d v="2025-10-03T00:00:00"/>
        <d v="2025-08-01T00:00:00"/>
        <d v="2025-05-01T00:00:00"/>
        <d v="2025-03-04T00:00:00"/>
        <d v="2025-04-16T00:00:00"/>
        <d v="2025-05-02T00:00:00"/>
        <d v="2025-09-01T00:00:00"/>
        <d v="2025-06-04T00:00:00"/>
        <d v="2025-02-07T00:00:00"/>
        <d v="2025-05-31T00:00:00"/>
        <d v="2025-03-20T00:00:00"/>
        <d v="2025-03-08T00:00:00"/>
        <d v="2025-01-27T00:00:00"/>
        <d v="2025-02-25T00:00:00"/>
        <d v="2025-11-11T00:00:00"/>
        <d v="2025-06-23T00:00:00"/>
        <d v="2025-02-16T00:00:00"/>
        <d v="2025-10-18T00:00:00"/>
        <d v="2025-09-06T00:00:00"/>
        <d v="2025-01-04T00:00:00"/>
        <d v="2025-03-31T00:00:00"/>
        <d v="2025-08-12T00:00:00"/>
        <d v="2025-02-28T00:00:00"/>
        <d v="2025-02-15T00:00:00"/>
        <d v="2025-04-24T00:00:00"/>
        <d v="2025-01-22T00:00:00"/>
        <d v="2025-07-06T00:00:00"/>
        <d v="2025-10-13T00:00:00"/>
        <d v="2025-06-29T00:00:00"/>
        <d v="2025-03-09T00:00:00"/>
        <d v="2025-12-13T00:00:00"/>
        <d v="2025-05-20T00:00:00"/>
        <d v="2025-01-28T00:00:00"/>
        <d v="2025-02-10T00:00:00"/>
        <d v="2025-11-02T00:00:00"/>
        <d v="2025-05-04T00:00:00"/>
        <d v="2025-10-25T00:00:00"/>
        <d v="2025-11-20T00:00:00"/>
        <d v="2025-12-02T00:00:00"/>
        <d v="2025-09-12T00:00:00"/>
        <d v="2025-01-17T00:00:00"/>
        <d v="2025-05-08T00:00:00"/>
        <d v="2025-04-20T00:00:00"/>
        <d v="2025-02-14T00:00:00"/>
        <d v="2025-07-08T00:00:00"/>
        <d v="2025-09-27T00:00:00"/>
        <d v="2025-03-05T00:00:00"/>
        <d v="2025-05-26T00:00:00"/>
        <d v="2025-11-25T00:00:00"/>
        <d v="2025-11-18T00:00:00"/>
        <d v="2025-06-17T00:00:00"/>
        <d v="2025-07-26T00:00:00"/>
        <d v="2025-11-12T00:00:00"/>
        <d v="2025-01-09T00:00:00"/>
        <d v="2025-10-23T00:00:00"/>
        <d v="2025-09-14T00:00:00"/>
        <d v="2025-06-10T00:00:00"/>
        <d v="2025-10-14T00:00:00"/>
        <d v="2025-05-29T00:00:00"/>
      </sharedItems>
      <fieldGroup par="15" base="6">
        <rangePr groupBy="months" startDate="2025-01-02T00:00:00" endDate="2026-01-02T00:00:00"/>
        <groupItems count="14">
          <s v="&lt;02/01/2025"/>
          <s v="Jan"/>
          <s v="Feb"/>
          <s v="Mar"/>
          <s v="Apr"/>
          <s v="May"/>
          <s v="Jun"/>
          <s v="Jul"/>
          <s v="Aug"/>
          <s v="Sep"/>
          <s v="Oct"/>
          <s v="Nov"/>
          <s v="Dec"/>
          <s v="&gt;02/01/2026"/>
        </groupItems>
      </fieldGroup>
    </cacheField>
    <cacheField name="Delivery_date" numFmtId="164">
      <sharedItems containsSemiMixedTypes="0" containsNonDate="0" containsDate="1" containsString="0" minDate="2025-01-06T00:00:00" maxDate="2026-01-09T00:00:00"/>
    </cacheField>
    <cacheField name="Month" numFmtId="164">
      <sharedItems count="23">
        <s v="Apr"/>
        <s v="Nov"/>
        <s v="Dec"/>
        <s v="Jul"/>
        <s v="May"/>
        <s v="Jun"/>
        <s v="Oct"/>
        <s v="Jan"/>
        <s v="Mar"/>
        <s v="Feb"/>
        <s v="Aug"/>
        <s v="Sep"/>
        <s v="June" u="1"/>
        <s v="March" u="1"/>
        <s v="February" u="1"/>
        <s v="August" u="1"/>
        <s v="October" u="1"/>
        <s v="September" u="1"/>
        <s v="November" u="1"/>
        <s v="January" u="1"/>
        <s v="December" u="1"/>
        <s v="April" u="1"/>
        <s v="July" u="1"/>
      </sharedItems>
    </cacheField>
    <cacheField name="city" numFmtId="0">
      <sharedItems count="25">
        <s v="Nashik"/>
        <s v="Coimbatore"/>
        <s v="Hubballi"/>
        <s v="Bengaluru"/>
        <s v="Kochi"/>
        <s v="Mysuru"/>
        <s v="Kollam"/>
        <s v="Pune"/>
        <s v="Khammam"/>
        <s v="Chennai"/>
        <s v="Belagavi"/>
        <s v="Karimnagar"/>
        <s v="Nizamabad"/>
        <s v="Mumbai"/>
        <s v="Thane"/>
        <s v="Mangaluru"/>
        <s v="Warangal"/>
        <s v="Thrissur"/>
        <s v="Kozhikode"/>
        <s v="Nagpur"/>
        <s v="Thiruvananthapuram"/>
        <s v="Salem"/>
        <s v="Hyderabad"/>
        <s v="Trichy"/>
        <s v="Madurai"/>
      </sharedItems>
    </cacheField>
    <cacheField name="state" numFmtId="0">
      <sharedItems count="5">
        <s v="Maharashtra"/>
        <s v="Tamil Nadu"/>
        <s v="Karnataka"/>
        <s v="Kerala"/>
        <s v="Telangana"/>
      </sharedItems>
    </cacheField>
    <cacheField name="payment_method" numFmtId="0">
      <sharedItems count="5">
        <s v="UPI"/>
        <s v="Cash on Delivery"/>
        <s v="Credit Card"/>
        <s v="Net Banking"/>
        <s v="Debit Card"/>
      </sharedItems>
    </cacheField>
    <cacheField name="gender" numFmtId="0">
      <sharedItems count="3">
        <s v="Female"/>
        <s v="Male"/>
        <s v="Non-binary"/>
      </sharedItems>
    </cacheField>
    <cacheField name="customer_age" numFmtId="0">
      <sharedItems containsSemiMixedTypes="0" containsString="0" containsNumber="1" containsInteger="1" minValue="19" maxValue="65" count="46">
        <n v="20"/>
        <n v="46"/>
        <n v="39"/>
        <n v="42"/>
        <n v="36"/>
        <n v="60"/>
        <n v="43"/>
        <n v="26"/>
        <n v="23"/>
        <n v="47"/>
        <n v="24"/>
        <n v="51"/>
        <n v="56"/>
        <n v="22"/>
        <n v="31"/>
        <n v="44"/>
        <n v="52"/>
        <n v="59"/>
        <n v="21"/>
        <n v="49"/>
        <n v="55"/>
        <n v="40"/>
        <n v="53"/>
        <n v="35"/>
        <n v="65"/>
        <n v="34"/>
        <n v="25"/>
        <n v="37"/>
        <n v="58"/>
        <n v="33"/>
        <n v="63"/>
        <n v="32"/>
        <n v="48"/>
        <n v="30"/>
        <n v="41"/>
        <n v="38"/>
        <n v="64"/>
        <n v="54"/>
        <n v="19"/>
        <n v="45"/>
        <n v="61"/>
        <n v="27"/>
        <n v="57"/>
        <n v="29"/>
        <n v="50"/>
        <n v="62"/>
      </sharedItems>
      <fieldGroup base="13">
        <rangePr startNum="19" endNum="65" groupInterval="12"/>
        <groupItems count="6">
          <s v="&lt;19"/>
          <s v="19-30"/>
          <s v="31-42"/>
          <s v="43-54"/>
          <s v="55-66"/>
          <s v="&gt;67"/>
        </groupItems>
      </fieldGroup>
    </cacheField>
    <cacheField name="Quarters" numFmtId="0" databaseField="0">
      <fieldGroup base="6">
        <rangePr groupBy="quarters" startDate="2025-01-02T00:00:00" endDate="2026-01-02T00:00:00"/>
        <groupItems count="6">
          <s v="&lt;02/01/2025"/>
          <s v="Qtr1"/>
          <s v="Qtr2"/>
          <s v="Qtr3"/>
          <s v="Qtr4"/>
          <s v="&gt;02/01/2026"/>
        </groupItems>
      </fieldGroup>
    </cacheField>
    <cacheField name="Years" numFmtId="0" databaseField="0">
      <fieldGroup base="6">
        <rangePr groupBy="years" startDate="2025-01-02T00:00:00" endDate="2026-01-02T00:00:00"/>
        <groupItems count="4">
          <s v="&lt;02/01/2025"/>
          <s v="2025"/>
          <s v="2026"/>
          <s v="&gt;02/01/2026"/>
        </groupItems>
      </fieldGroup>
    </cacheField>
  </cacheFields>
  <extLst>
    <ext xmlns:x14="http://schemas.microsoft.com/office/spreadsheetml/2009/9/main" uri="{725AE2AE-9491-48be-B2B4-4EB974FC3084}">
      <x14:pivotCacheDefinition pivotCacheId="960959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1"/>
    <s v="Lipstick"/>
    <x v="0"/>
    <n v="1918.49"/>
    <n v="2"/>
    <n v="3836.98"/>
    <x v="0"/>
    <d v="2025-04-28T00:00:00"/>
    <x v="0"/>
    <x v="0"/>
    <x v="0"/>
    <x v="0"/>
    <x v="0"/>
    <x v="0"/>
  </r>
  <r>
    <s v="ORD1002"/>
    <s v="Foundation"/>
    <x v="0"/>
    <n v="741.94"/>
    <n v="5"/>
    <n v="3709.7000000000003"/>
    <x v="1"/>
    <d v="2025-11-07T00:00:00"/>
    <x v="1"/>
    <x v="1"/>
    <x v="1"/>
    <x v="1"/>
    <x v="1"/>
    <x v="1"/>
  </r>
  <r>
    <s v="ORD1003"/>
    <s v="Coffee Maker"/>
    <x v="1"/>
    <n v="13235.55"/>
    <n v="2"/>
    <n v="26471.1"/>
    <x v="2"/>
    <d v="2025-12-29T00:00:00"/>
    <x v="2"/>
    <x v="2"/>
    <x v="2"/>
    <x v="2"/>
    <x v="1"/>
    <x v="2"/>
  </r>
  <r>
    <s v="ORD1004"/>
    <s v="Foundation"/>
    <x v="0"/>
    <n v="1104.8399999999999"/>
    <n v="3"/>
    <n v="3314.5199999999995"/>
    <x v="3"/>
    <d v="2025-07-02T00:00:00"/>
    <x v="3"/>
    <x v="3"/>
    <x v="2"/>
    <x v="3"/>
    <x v="0"/>
    <x v="3"/>
  </r>
  <r>
    <s v="ORD1005"/>
    <s v="Sunscreen"/>
    <x v="0"/>
    <n v="2116.16"/>
    <n v="5"/>
    <n v="10580.8"/>
    <x v="4"/>
    <d v="2025-07-11T00:00:00"/>
    <x v="3"/>
    <x v="4"/>
    <x v="3"/>
    <x v="0"/>
    <x v="0"/>
    <x v="4"/>
  </r>
  <r>
    <s v="ORD1006"/>
    <s v="Eyeliner"/>
    <x v="0"/>
    <n v="2199.59"/>
    <n v="4"/>
    <n v="8798.36"/>
    <x v="5"/>
    <d v="2025-05-28T00:00:00"/>
    <x v="4"/>
    <x v="5"/>
    <x v="2"/>
    <x v="4"/>
    <x v="1"/>
    <x v="5"/>
  </r>
  <r>
    <s v="ORD1007"/>
    <s v="Vacuum Cleaner"/>
    <x v="1"/>
    <n v="14144.84"/>
    <n v="1"/>
    <n v="14144.84"/>
    <x v="6"/>
    <d v="2025-11-15T00:00:00"/>
    <x v="1"/>
    <x v="6"/>
    <x v="3"/>
    <x v="2"/>
    <x v="1"/>
    <x v="3"/>
  </r>
  <r>
    <s v="ORD1008"/>
    <s v="Vacuum Cleaner"/>
    <x v="1"/>
    <n v="10790.19"/>
    <n v="2"/>
    <n v="21580.38"/>
    <x v="7"/>
    <d v="2025-12-21T00:00:00"/>
    <x v="2"/>
    <x v="7"/>
    <x v="0"/>
    <x v="0"/>
    <x v="0"/>
    <x v="6"/>
  </r>
  <r>
    <s v="ORD1009"/>
    <s v="Microwave"/>
    <x v="1"/>
    <n v="4348.2700000000004"/>
    <n v="5"/>
    <n v="21741.350000000002"/>
    <x v="8"/>
    <d v="2025-06-14T00:00:00"/>
    <x v="5"/>
    <x v="8"/>
    <x v="4"/>
    <x v="3"/>
    <x v="1"/>
    <x v="7"/>
  </r>
  <r>
    <s v="ORD1010"/>
    <s v="Leather Jacket"/>
    <x v="2"/>
    <n v="3485.53"/>
    <n v="4"/>
    <n v="13942.12"/>
    <x v="9"/>
    <d v="2025-10-31T00:00:00"/>
    <x v="6"/>
    <x v="5"/>
    <x v="2"/>
    <x v="2"/>
    <x v="0"/>
    <x v="8"/>
  </r>
  <r>
    <s v="ORD1011"/>
    <s v="Foundation"/>
    <x v="0"/>
    <n v="593.89"/>
    <n v="2"/>
    <n v="1187.78"/>
    <x v="10"/>
    <d v="2025-12-20T00:00:00"/>
    <x v="2"/>
    <x v="9"/>
    <x v="1"/>
    <x v="3"/>
    <x v="1"/>
    <x v="9"/>
  </r>
  <r>
    <s v="ORD1012"/>
    <s v="Air Fryer"/>
    <x v="1"/>
    <n v="13120.53"/>
    <n v="1"/>
    <n v="13120.53"/>
    <x v="10"/>
    <d v="2025-12-22T00:00:00"/>
    <x v="2"/>
    <x v="0"/>
    <x v="0"/>
    <x v="4"/>
    <x v="0"/>
    <x v="2"/>
  </r>
  <r>
    <s v="ORD1013"/>
    <s v="Sunscreen"/>
    <x v="0"/>
    <n v="1228.22"/>
    <n v="4"/>
    <n v="4912.88"/>
    <x v="11"/>
    <d v="2025-01-09T00:00:00"/>
    <x v="7"/>
    <x v="10"/>
    <x v="2"/>
    <x v="2"/>
    <x v="0"/>
    <x v="10"/>
  </r>
  <r>
    <s v="ORD1014"/>
    <s v="Coffee Maker"/>
    <x v="1"/>
    <n v="10125.82"/>
    <n v="5"/>
    <n v="50629.1"/>
    <x v="12"/>
    <d v="2025-04-15T00:00:00"/>
    <x v="0"/>
    <x v="5"/>
    <x v="2"/>
    <x v="1"/>
    <x v="0"/>
    <x v="11"/>
  </r>
  <r>
    <s v="ORD1015"/>
    <s v="Moisturizer"/>
    <x v="0"/>
    <n v="1349.36"/>
    <n v="1"/>
    <n v="1349.36"/>
    <x v="4"/>
    <d v="2025-07-09T00:00:00"/>
    <x v="3"/>
    <x v="4"/>
    <x v="3"/>
    <x v="2"/>
    <x v="0"/>
    <x v="8"/>
  </r>
  <r>
    <s v="ORD1016"/>
    <s v="Nail Polish"/>
    <x v="0"/>
    <n v="2086.0500000000002"/>
    <n v="5"/>
    <n v="10430.25"/>
    <x v="13"/>
    <d v="2025-03-09T00:00:00"/>
    <x v="8"/>
    <x v="11"/>
    <x v="4"/>
    <x v="2"/>
    <x v="1"/>
    <x v="12"/>
  </r>
  <r>
    <s v="ORD1017"/>
    <s v="Gel Pen Set"/>
    <x v="3"/>
    <n v="746.69"/>
    <n v="2"/>
    <n v="1493.38"/>
    <x v="14"/>
    <d v="2026-01-05T00:00:00"/>
    <x v="7"/>
    <x v="12"/>
    <x v="4"/>
    <x v="3"/>
    <x v="0"/>
    <x v="1"/>
  </r>
  <r>
    <s v="ORD1018"/>
    <s v="Eyeliner"/>
    <x v="0"/>
    <n v="755.57"/>
    <n v="3"/>
    <n v="2266.71"/>
    <x v="15"/>
    <d v="2025-01-17T00:00:00"/>
    <x v="7"/>
    <x v="1"/>
    <x v="1"/>
    <x v="1"/>
    <x v="1"/>
    <x v="13"/>
  </r>
  <r>
    <s v="ORD1019"/>
    <s v="Eyeliner"/>
    <x v="0"/>
    <n v="401.65"/>
    <n v="1"/>
    <n v="401.65"/>
    <x v="16"/>
    <d v="2025-06-21T00:00:00"/>
    <x v="5"/>
    <x v="1"/>
    <x v="1"/>
    <x v="4"/>
    <x v="0"/>
    <x v="14"/>
  </r>
  <r>
    <s v="ORD1020"/>
    <s v="Handbag"/>
    <x v="2"/>
    <n v="1464.42"/>
    <n v="4"/>
    <n v="5857.68"/>
    <x v="17"/>
    <d v="2025-07-31T00:00:00"/>
    <x v="3"/>
    <x v="13"/>
    <x v="0"/>
    <x v="3"/>
    <x v="1"/>
    <x v="15"/>
  </r>
  <r>
    <s v="ORD1021"/>
    <s v="Fountain Pen"/>
    <x v="3"/>
    <n v="596.80999999999995"/>
    <n v="1"/>
    <n v="596.80999999999995"/>
    <x v="18"/>
    <d v="2025-02-06T00:00:00"/>
    <x v="9"/>
    <x v="3"/>
    <x v="2"/>
    <x v="2"/>
    <x v="1"/>
    <x v="16"/>
  </r>
  <r>
    <s v="ORD1022"/>
    <s v="Gel Pen Set"/>
    <x v="3"/>
    <n v="366.41"/>
    <n v="3"/>
    <n v="1099.23"/>
    <x v="19"/>
    <d v="2025-08-28T00:00:00"/>
    <x v="10"/>
    <x v="14"/>
    <x v="0"/>
    <x v="1"/>
    <x v="1"/>
    <x v="17"/>
  </r>
  <r>
    <s v="ORD1023"/>
    <s v="Foundation"/>
    <x v="0"/>
    <n v="2334.33"/>
    <n v="2"/>
    <n v="4668.66"/>
    <x v="20"/>
    <d v="2025-04-01T00:00:00"/>
    <x v="0"/>
    <x v="8"/>
    <x v="4"/>
    <x v="2"/>
    <x v="0"/>
    <x v="18"/>
  </r>
  <r>
    <s v="ORD1024"/>
    <s v="Formal Shirt"/>
    <x v="2"/>
    <n v="498.64"/>
    <n v="4"/>
    <n v="1994.56"/>
    <x v="21"/>
    <d v="2025-05-21T00:00:00"/>
    <x v="4"/>
    <x v="15"/>
    <x v="2"/>
    <x v="1"/>
    <x v="0"/>
    <x v="19"/>
  </r>
  <r>
    <s v="ORD1025"/>
    <s v="Sneakers"/>
    <x v="2"/>
    <n v="1679.8"/>
    <n v="1"/>
    <n v="1679.8"/>
    <x v="22"/>
    <d v="2025-10-31T00:00:00"/>
    <x v="6"/>
    <x v="9"/>
    <x v="1"/>
    <x v="4"/>
    <x v="1"/>
    <x v="20"/>
  </r>
  <r>
    <s v="ORD1026"/>
    <s v="Highlighters"/>
    <x v="3"/>
    <n v="739.54"/>
    <n v="5"/>
    <n v="3697.7"/>
    <x v="23"/>
    <d v="2025-03-24T00:00:00"/>
    <x v="8"/>
    <x v="9"/>
    <x v="1"/>
    <x v="2"/>
    <x v="1"/>
    <x v="13"/>
  </r>
  <r>
    <s v="ORD1027"/>
    <s v="Formal Shirt"/>
    <x v="2"/>
    <n v="970.75"/>
    <n v="5"/>
    <n v="4853.75"/>
    <x v="24"/>
    <d v="2025-05-13T00:00:00"/>
    <x v="4"/>
    <x v="9"/>
    <x v="1"/>
    <x v="1"/>
    <x v="1"/>
    <x v="5"/>
  </r>
  <r>
    <s v="ORD1028"/>
    <s v="Toaster"/>
    <x v="1"/>
    <n v="4257.5"/>
    <n v="3"/>
    <n v="12772.5"/>
    <x v="25"/>
    <d v="2025-05-07T00:00:00"/>
    <x v="4"/>
    <x v="16"/>
    <x v="4"/>
    <x v="4"/>
    <x v="1"/>
    <x v="13"/>
  </r>
  <r>
    <s v="ORD1029"/>
    <s v="Nail Polish"/>
    <x v="0"/>
    <n v="1647.61"/>
    <n v="5"/>
    <n v="8238.0499999999993"/>
    <x v="26"/>
    <d v="2025-02-23T00:00:00"/>
    <x v="9"/>
    <x v="1"/>
    <x v="1"/>
    <x v="1"/>
    <x v="1"/>
    <x v="21"/>
  </r>
  <r>
    <s v="ORD1030"/>
    <s v="Eyeliner"/>
    <x v="0"/>
    <n v="1081.44"/>
    <n v="2"/>
    <n v="2162.88"/>
    <x v="27"/>
    <d v="2025-08-19T00:00:00"/>
    <x v="10"/>
    <x v="10"/>
    <x v="2"/>
    <x v="1"/>
    <x v="1"/>
    <x v="22"/>
  </r>
  <r>
    <s v="ORD1031"/>
    <s v="Vacuum Cleaner"/>
    <x v="1"/>
    <n v="2898.42"/>
    <n v="2"/>
    <n v="5796.84"/>
    <x v="21"/>
    <d v="2025-05-18T00:00:00"/>
    <x v="4"/>
    <x v="0"/>
    <x v="0"/>
    <x v="2"/>
    <x v="1"/>
    <x v="12"/>
  </r>
  <r>
    <s v="ORD1032"/>
    <s v="Socks"/>
    <x v="2"/>
    <n v="1306.43"/>
    <n v="3"/>
    <n v="3919.29"/>
    <x v="28"/>
    <d v="2025-09-21T00:00:00"/>
    <x v="11"/>
    <x v="3"/>
    <x v="2"/>
    <x v="0"/>
    <x v="0"/>
    <x v="23"/>
  </r>
  <r>
    <s v="ORD1033"/>
    <s v="Lipstick"/>
    <x v="0"/>
    <n v="1000.5"/>
    <n v="2"/>
    <n v="2001"/>
    <x v="29"/>
    <d v="2025-11-27T00:00:00"/>
    <x v="1"/>
    <x v="17"/>
    <x v="3"/>
    <x v="1"/>
    <x v="0"/>
    <x v="22"/>
  </r>
  <r>
    <s v="ORD1034"/>
    <s v="Foundation"/>
    <x v="0"/>
    <n v="419.3"/>
    <n v="2"/>
    <n v="838.6"/>
    <x v="30"/>
    <d v="2025-10-09T00:00:00"/>
    <x v="6"/>
    <x v="10"/>
    <x v="2"/>
    <x v="1"/>
    <x v="1"/>
    <x v="7"/>
  </r>
  <r>
    <s v="ORD1035"/>
    <s v="Sunscreen"/>
    <x v="0"/>
    <n v="1070.47"/>
    <n v="1"/>
    <n v="1070.47"/>
    <x v="31"/>
    <d v="2025-07-06T00:00:00"/>
    <x v="3"/>
    <x v="4"/>
    <x v="3"/>
    <x v="4"/>
    <x v="0"/>
    <x v="15"/>
  </r>
  <r>
    <s v="ORD1036"/>
    <s v="Sneakers"/>
    <x v="2"/>
    <n v="3957.07"/>
    <n v="2"/>
    <n v="7914.14"/>
    <x v="32"/>
    <d v="2025-08-02T00:00:00"/>
    <x v="10"/>
    <x v="18"/>
    <x v="3"/>
    <x v="3"/>
    <x v="0"/>
    <x v="24"/>
  </r>
  <r>
    <s v="ORD1037"/>
    <s v="Leather Jacket"/>
    <x v="2"/>
    <n v="1128.3800000000001"/>
    <n v="1"/>
    <n v="1128.3800000000001"/>
    <x v="33"/>
    <d v="2025-07-17T00:00:00"/>
    <x v="3"/>
    <x v="16"/>
    <x v="4"/>
    <x v="2"/>
    <x v="0"/>
    <x v="9"/>
  </r>
  <r>
    <s v="ORD1038"/>
    <s v="Toaster"/>
    <x v="1"/>
    <n v="12577.24"/>
    <n v="2"/>
    <n v="25154.48"/>
    <x v="0"/>
    <d v="2025-04-27T00:00:00"/>
    <x v="0"/>
    <x v="17"/>
    <x v="3"/>
    <x v="4"/>
    <x v="1"/>
    <x v="13"/>
  </r>
  <r>
    <s v="ORD1039"/>
    <s v="Toaster"/>
    <x v="1"/>
    <n v="10160"/>
    <n v="4"/>
    <n v="40640"/>
    <x v="34"/>
    <d v="2025-12-20T00:00:00"/>
    <x v="2"/>
    <x v="3"/>
    <x v="2"/>
    <x v="0"/>
    <x v="0"/>
    <x v="25"/>
  </r>
  <r>
    <s v="ORD1040"/>
    <s v="Leather Jacket"/>
    <x v="2"/>
    <n v="643.41"/>
    <n v="5"/>
    <n v="3217.0499999999997"/>
    <x v="35"/>
    <d v="2025-08-15T00:00:00"/>
    <x v="10"/>
    <x v="15"/>
    <x v="2"/>
    <x v="1"/>
    <x v="2"/>
    <x v="26"/>
  </r>
  <r>
    <s v="ORD1041"/>
    <s v="Highlighters"/>
    <x v="3"/>
    <n v="192.56"/>
    <n v="1"/>
    <n v="192.56"/>
    <x v="36"/>
    <d v="2026-01-03T00:00:00"/>
    <x v="7"/>
    <x v="0"/>
    <x v="0"/>
    <x v="1"/>
    <x v="0"/>
    <x v="24"/>
  </r>
  <r>
    <s v="ORD1042"/>
    <s v="Socks"/>
    <x v="2"/>
    <n v="2219.5"/>
    <n v="3"/>
    <n v="6658.5"/>
    <x v="37"/>
    <d v="2025-11-20T00:00:00"/>
    <x v="1"/>
    <x v="19"/>
    <x v="0"/>
    <x v="1"/>
    <x v="1"/>
    <x v="15"/>
  </r>
  <r>
    <s v="ORD1043"/>
    <s v="Electric Kettle"/>
    <x v="1"/>
    <n v="10912.31"/>
    <n v="5"/>
    <n v="54561.549999999996"/>
    <x v="38"/>
    <d v="2025-03-10T00:00:00"/>
    <x v="8"/>
    <x v="8"/>
    <x v="4"/>
    <x v="2"/>
    <x v="0"/>
    <x v="27"/>
  </r>
  <r>
    <s v="ORD1044"/>
    <s v="Highlighters"/>
    <x v="3"/>
    <n v="675.29"/>
    <n v="3"/>
    <n v="2025.87"/>
    <x v="39"/>
    <d v="2025-05-30T00:00:00"/>
    <x v="4"/>
    <x v="11"/>
    <x v="4"/>
    <x v="1"/>
    <x v="0"/>
    <x v="9"/>
  </r>
  <r>
    <s v="ORD1045"/>
    <s v="Sketchbook"/>
    <x v="3"/>
    <n v="556.72"/>
    <n v="5"/>
    <n v="2783.6000000000004"/>
    <x v="40"/>
    <d v="2025-09-07T00:00:00"/>
    <x v="11"/>
    <x v="4"/>
    <x v="3"/>
    <x v="4"/>
    <x v="0"/>
    <x v="28"/>
  </r>
  <r>
    <s v="ORD1046"/>
    <s v="Microwave"/>
    <x v="1"/>
    <n v="12548.72"/>
    <n v="2"/>
    <n v="25097.439999999999"/>
    <x v="41"/>
    <d v="2025-12-15T00:00:00"/>
    <x v="2"/>
    <x v="20"/>
    <x v="3"/>
    <x v="2"/>
    <x v="1"/>
    <x v="29"/>
  </r>
  <r>
    <s v="ORD1047"/>
    <s v="Highlighters"/>
    <x v="3"/>
    <n v="687.3"/>
    <n v="1"/>
    <n v="687.3"/>
    <x v="42"/>
    <d v="2025-08-27T00:00:00"/>
    <x v="10"/>
    <x v="1"/>
    <x v="1"/>
    <x v="3"/>
    <x v="0"/>
    <x v="29"/>
  </r>
  <r>
    <s v="ORD1048"/>
    <s v="T-Shirt"/>
    <x v="2"/>
    <n v="4069.57"/>
    <n v="1"/>
    <n v="4069.57"/>
    <x v="43"/>
    <d v="2025-08-09T00:00:00"/>
    <x v="10"/>
    <x v="6"/>
    <x v="3"/>
    <x v="3"/>
    <x v="1"/>
    <x v="29"/>
  </r>
  <r>
    <s v="ORD1049"/>
    <s v="Nail Polish"/>
    <x v="0"/>
    <n v="550.01"/>
    <n v="4"/>
    <n v="2200.04"/>
    <x v="44"/>
    <d v="2025-12-14T00:00:00"/>
    <x v="2"/>
    <x v="21"/>
    <x v="1"/>
    <x v="4"/>
    <x v="0"/>
    <x v="1"/>
  </r>
  <r>
    <s v="ORD1050"/>
    <s v="Fountain Pen"/>
    <x v="3"/>
    <n v="730.14"/>
    <n v="4"/>
    <n v="2920.56"/>
    <x v="45"/>
    <d v="2025-03-30T00:00:00"/>
    <x v="8"/>
    <x v="8"/>
    <x v="4"/>
    <x v="4"/>
    <x v="0"/>
    <x v="28"/>
  </r>
  <r>
    <s v="ORD1051"/>
    <s v="Coffee Maker"/>
    <x v="1"/>
    <n v="11998.61"/>
    <n v="4"/>
    <n v="47994.44"/>
    <x v="46"/>
    <d v="2025-11-20T00:00:00"/>
    <x v="1"/>
    <x v="15"/>
    <x v="2"/>
    <x v="0"/>
    <x v="0"/>
    <x v="29"/>
  </r>
  <r>
    <s v="ORD1052"/>
    <s v="Toaster"/>
    <x v="1"/>
    <n v="5816.08"/>
    <n v="5"/>
    <n v="29080.400000000001"/>
    <x v="47"/>
    <d v="2025-02-14T00:00:00"/>
    <x v="9"/>
    <x v="20"/>
    <x v="3"/>
    <x v="3"/>
    <x v="0"/>
    <x v="30"/>
  </r>
  <r>
    <s v="ORD1053"/>
    <s v="Jeans"/>
    <x v="2"/>
    <n v="2153.62"/>
    <n v="3"/>
    <n v="6460.86"/>
    <x v="48"/>
    <d v="2025-10-10T00:00:00"/>
    <x v="6"/>
    <x v="22"/>
    <x v="4"/>
    <x v="2"/>
    <x v="0"/>
    <x v="3"/>
  </r>
  <r>
    <s v="ORD1054"/>
    <s v="Perfume"/>
    <x v="0"/>
    <n v="1323.2"/>
    <n v="3"/>
    <n v="3969.6000000000004"/>
    <x v="49"/>
    <d v="2025-06-07T00:00:00"/>
    <x v="5"/>
    <x v="11"/>
    <x v="4"/>
    <x v="1"/>
    <x v="0"/>
    <x v="31"/>
  </r>
  <r>
    <s v="ORD1055"/>
    <s v="Gel Pen Set"/>
    <x v="3"/>
    <n v="254.7"/>
    <n v="4"/>
    <n v="1018.8"/>
    <x v="50"/>
    <d v="2025-01-20T00:00:00"/>
    <x v="7"/>
    <x v="15"/>
    <x v="2"/>
    <x v="2"/>
    <x v="0"/>
    <x v="7"/>
  </r>
  <r>
    <s v="ORD1056"/>
    <s v="Perfume"/>
    <x v="0"/>
    <n v="1581.76"/>
    <n v="1"/>
    <n v="1581.76"/>
    <x v="51"/>
    <d v="2025-02-19T00:00:00"/>
    <x v="9"/>
    <x v="16"/>
    <x v="4"/>
    <x v="3"/>
    <x v="1"/>
    <x v="25"/>
  </r>
  <r>
    <s v="ORD1057"/>
    <s v="Desk Organizer"/>
    <x v="3"/>
    <n v="208.75"/>
    <n v="3"/>
    <n v="626.25"/>
    <x v="52"/>
    <d v="2025-06-27T00:00:00"/>
    <x v="5"/>
    <x v="15"/>
    <x v="2"/>
    <x v="4"/>
    <x v="0"/>
    <x v="32"/>
  </r>
  <r>
    <s v="ORD1058"/>
    <s v="Lipstick"/>
    <x v="0"/>
    <n v="2499.79"/>
    <n v="3"/>
    <n v="7499.37"/>
    <x v="0"/>
    <d v="2025-05-02T00:00:00"/>
    <x v="4"/>
    <x v="13"/>
    <x v="0"/>
    <x v="0"/>
    <x v="0"/>
    <x v="33"/>
  </r>
  <r>
    <s v="ORD1059"/>
    <s v="Mascara"/>
    <x v="0"/>
    <n v="786.73"/>
    <n v="4"/>
    <n v="3146.92"/>
    <x v="53"/>
    <d v="2025-12-11T00:00:00"/>
    <x v="2"/>
    <x v="1"/>
    <x v="1"/>
    <x v="3"/>
    <x v="0"/>
    <x v="34"/>
  </r>
  <r>
    <s v="ORD1060"/>
    <s v="Jeans"/>
    <x v="2"/>
    <n v="3608.95"/>
    <n v="2"/>
    <n v="7217.9"/>
    <x v="54"/>
    <d v="2025-06-11T00:00:00"/>
    <x v="5"/>
    <x v="9"/>
    <x v="1"/>
    <x v="4"/>
    <x v="0"/>
    <x v="3"/>
  </r>
  <r>
    <s v="ORD1061"/>
    <s v="Sticker Pack"/>
    <x v="3"/>
    <n v="198.75"/>
    <n v="5"/>
    <n v="993.75"/>
    <x v="55"/>
    <d v="2025-12-27T00:00:00"/>
    <x v="2"/>
    <x v="4"/>
    <x v="3"/>
    <x v="4"/>
    <x v="0"/>
    <x v="12"/>
  </r>
  <r>
    <s v="ORD1062"/>
    <s v="Lipstick"/>
    <x v="0"/>
    <n v="1031.21"/>
    <n v="4"/>
    <n v="4124.84"/>
    <x v="56"/>
    <d v="2025-12-09T00:00:00"/>
    <x v="2"/>
    <x v="0"/>
    <x v="0"/>
    <x v="4"/>
    <x v="1"/>
    <x v="15"/>
  </r>
  <r>
    <s v="ORD1063"/>
    <s v="Notebook"/>
    <x v="3"/>
    <n v="375.14"/>
    <n v="3"/>
    <n v="1125.42"/>
    <x v="57"/>
    <d v="2025-11-27T00:00:00"/>
    <x v="1"/>
    <x v="17"/>
    <x v="3"/>
    <x v="2"/>
    <x v="0"/>
    <x v="17"/>
  </r>
  <r>
    <s v="ORD1064"/>
    <s v="Air Fryer"/>
    <x v="1"/>
    <n v="12410.69"/>
    <n v="5"/>
    <n v="62053.450000000004"/>
    <x v="58"/>
    <d v="2025-09-10T00:00:00"/>
    <x v="11"/>
    <x v="11"/>
    <x v="4"/>
    <x v="4"/>
    <x v="1"/>
    <x v="29"/>
  </r>
  <r>
    <s v="ORD1065"/>
    <s v="Sunscreen"/>
    <x v="0"/>
    <n v="2233.67"/>
    <n v="2"/>
    <n v="4467.34"/>
    <x v="59"/>
    <d v="2025-09-01T00:00:00"/>
    <x v="11"/>
    <x v="23"/>
    <x v="1"/>
    <x v="4"/>
    <x v="1"/>
    <x v="35"/>
  </r>
  <r>
    <s v="ORD1066"/>
    <s v="Handbag"/>
    <x v="2"/>
    <n v="1340.6"/>
    <n v="3"/>
    <n v="4021.7999999999997"/>
    <x v="60"/>
    <d v="2025-06-28T00:00:00"/>
    <x v="5"/>
    <x v="24"/>
    <x v="1"/>
    <x v="1"/>
    <x v="1"/>
    <x v="33"/>
  </r>
  <r>
    <s v="ORD1067"/>
    <s v="Eyeliner"/>
    <x v="0"/>
    <n v="1870.17"/>
    <n v="4"/>
    <n v="7480.68"/>
    <x v="61"/>
    <d v="2025-10-15T00:00:00"/>
    <x v="6"/>
    <x v="8"/>
    <x v="4"/>
    <x v="3"/>
    <x v="0"/>
    <x v="8"/>
  </r>
  <r>
    <s v="ORD1068"/>
    <s v="Blender"/>
    <x v="1"/>
    <n v="6959.42"/>
    <n v="2"/>
    <n v="13918.84"/>
    <x v="62"/>
    <d v="2025-06-13T00:00:00"/>
    <x v="5"/>
    <x v="24"/>
    <x v="1"/>
    <x v="3"/>
    <x v="0"/>
    <x v="21"/>
  </r>
  <r>
    <s v="ORD1069"/>
    <s v="Sticker Pack"/>
    <x v="3"/>
    <n v="462.79"/>
    <n v="3"/>
    <n v="1388.3700000000001"/>
    <x v="63"/>
    <d v="2025-12-31T00:00:00"/>
    <x v="2"/>
    <x v="2"/>
    <x v="2"/>
    <x v="4"/>
    <x v="1"/>
    <x v="36"/>
  </r>
  <r>
    <s v="ORD1070"/>
    <s v="Socks"/>
    <x v="2"/>
    <n v="969.41"/>
    <n v="5"/>
    <n v="4847.05"/>
    <x v="55"/>
    <d v="2025-12-23T00:00:00"/>
    <x v="2"/>
    <x v="20"/>
    <x v="3"/>
    <x v="3"/>
    <x v="1"/>
    <x v="20"/>
  </r>
  <r>
    <s v="ORD1071"/>
    <s v="Microwave"/>
    <x v="1"/>
    <n v="12740.48"/>
    <n v="3"/>
    <n v="38221.440000000002"/>
    <x v="64"/>
    <d v="2025-05-01T00:00:00"/>
    <x v="4"/>
    <x v="18"/>
    <x v="3"/>
    <x v="0"/>
    <x v="0"/>
    <x v="7"/>
  </r>
  <r>
    <s v="ORD1072"/>
    <s v="Microwave"/>
    <x v="1"/>
    <n v="14652.98"/>
    <n v="5"/>
    <n v="73264.899999999994"/>
    <x v="65"/>
    <d v="2025-06-06T00:00:00"/>
    <x v="5"/>
    <x v="17"/>
    <x v="3"/>
    <x v="0"/>
    <x v="0"/>
    <x v="37"/>
  </r>
  <r>
    <s v="ORD1073"/>
    <s v="Electric Kettle"/>
    <x v="1"/>
    <n v="7962.64"/>
    <n v="3"/>
    <n v="23887.920000000002"/>
    <x v="66"/>
    <d v="2025-04-07T00:00:00"/>
    <x v="0"/>
    <x v="15"/>
    <x v="2"/>
    <x v="0"/>
    <x v="0"/>
    <x v="6"/>
  </r>
  <r>
    <s v="ORD1074"/>
    <s v="Notebook"/>
    <x v="3"/>
    <n v="482.77"/>
    <n v="1"/>
    <n v="482.77"/>
    <x v="67"/>
    <d v="2025-03-22T00:00:00"/>
    <x v="8"/>
    <x v="24"/>
    <x v="1"/>
    <x v="0"/>
    <x v="2"/>
    <x v="26"/>
  </r>
  <r>
    <s v="ORD1075"/>
    <s v="Highlighters"/>
    <x v="3"/>
    <n v="497.1"/>
    <n v="5"/>
    <n v="2485.5"/>
    <x v="68"/>
    <d v="2025-05-02T00:00:00"/>
    <x v="4"/>
    <x v="8"/>
    <x v="4"/>
    <x v="3"/>
    <x v="1"/>
    <x v="20"/>
  </r>
  <r>
    <s v="ORD1076"/>
    <s v="Desk Organizer"/>
    <x v="3"/>
    <n v="476.47"/>
    <n v="1"/>
    <n v="476.47"/>
    <x v="69"/>
    <d v="2025-11-16T00:00:00"/>
    <x v="1"/>
    <x v="7"/>
    <x v="0"/>
    <x v="2"/>
    <x v="1"/>
    <x v="8"/>
  </r>
  <r>
    <s v="ORD1077"/>
    <s v="Sneakers"/>
    <x v="2"/>
    <n v="1186.99"/>
    <n v="1"/>
    <n v="1186.99"/>
    <x v="23"/>
    <d v="2025-03-24T00:00:00"/>
    <x v="8"/>
    <x v="8"/>
    <x v="4"/>
    <x v="1"/>
    <x v="1"/>
    <x v="0"/>
  </r>
  <r>
    <s v="ORD1078"/>
    <s v="Leather Jacket"/>
    <x v="2"/>
    <n v="3324.89"/>
    <n v="4"/>
    <n v="13299.56"/>
    <x v="70"/>
    <d v="2025-02-13T00:00:00"/>
    <x v="9"/>
    <x v="18"/>
    <x v="3"/>
    <x v="1"/>
    <x v="0"/>
    <x v="33"/>
  </r>
  <r>
    <s v="ORD1079"/>
    <s v="Notebook"/>
    <x v="3"/>
    <n v="458.42"/>
    <n v="2"/>
    <n v="916.84"/>
    <x v="71"/>
    <d v="2025-05-20T00:00:00"/>
    <x v="4"/>
    <x v="13"/>
    <x v="0"/>
    <x v="2"/>
    <x v="0"/>
    <x v="12"/>
  </r>
  <r>
    <s v="ORD1080"/>
    <s v="Electric Kettle"/>
    <x v="1"/>
    <n v="3178.77"/>
    <n v="3"/>
    <n v="9536.31"/>
    <x v="72"/>
    <d v="2025-12-30T00:00:00"/>
    <x v="2"/>
    <x v="10"/>
    <x v="2"/>
    <x v="1"/>
    <x v="0"/>
    <x v="8"/>
  </r>
  <r>
    <s v="ORD1081"/>
    <s v="Perfume"/>
    <x v="0"/>
    <n v="1902.7"/>
    <n v="5"/>
    <n v="9513.5"/>
    <x v="73"/>
    <d v="2025-05-11T00:00:00"/>
    <x v="4"/>
    <x v="7"/>
    <x v="0"/>
    <x v="1"/>
    <x v="0"/>
    <x v="38"/>
  </r>
  <r>
    <s v="ORD1082"/>
    <s v="Air Fryer"/>
    <x v="1"/>
    <n v="2043.13"/>
    <n v="2"/>
    <n v="4086.26"/>
    <x v="74"/>
    <d v="2025-09-04T00:00:00"/>
    <x v="11"/>
    <x v="12"/>
    <x v="4"/>
    <x v="2"/>
    <x v="2"/>
    <x v="39"/>
  </r>
  <r>
    <s v="ORD1083"/>
    <s v="Notebook"/>
    <x v="3"/>
    <n v="402.51"/>
    <n v="4"/>
    <n v="1610.04"/>
    <x v="75"/>
    <d v="2025-06-24T00:00:00"/>
    <x v="5"/>
    <x v="7"/>
    <x v="0"/>
    <x v="4"/>
    <x v="1"/>
    <x v="19"/>
  </r>
  <r>
    <s v="ORD1084"/>
    <s v="Vacuum Cleaner"/>
    <x v="1"/>
    <n v="14260.11"/>
    <n v="5"/>
    <n v="71300.55"/>
    <x v="76"/>
    <d v="2025-01-24T00:00:00"/>
    <x v="7"/>
    <x v="19"/>
    <x v="0"/>
    <x v="4"/>
    <x v="1"/>
    <x v="6"/>
  </r>
  <r>
    <s v="ORD1085"/>
    <s v="Nail Polish"/>
    <x v="0"/>
    <n v="1179.81"/>
    <n v="2"/>
    <n v="2359.62"/>
    <x v="77"/>
    <d v="2025-09-27T00:00:00"/>
    <x v="11"/>
    <x v="23"/>
    <x v="1"/>
    <x v="3"/>
    <x v="0"/>
    <x v="14"/>
  </r>
  <r>
    <s v="ORD1086"/>
    <s v="Air Fryer"/>
    <x v="1"/>
    <n v="3268.68"/>
    <n v="3"/>
    <n v="9806.0399999999991"/>
    <x v="27"/>
    <d v="2025-08-20T00:00:00"/>
    <x v="10"/>
    <x v="22"/>
    <x v="4"/>
    <x v="0"/>
    <x v="2"/>
    <x v="12"/>
  </r>
  <r>
    <s v="ORD1087"/>
    <s v="Summer Dress"/>
    <x v="2"/>
    <n v="1736.11"/>
    <n v="1"/>
    <n v="1736.11"/>
    <x v="78"/>
    <d v="2025-10-15T00:00:00"/>
    <x v="6"/>
    <x v="7"/>
    <x v="0"/>
    <x v="0"/>
    <x v="1"/>
    <x v="26"/>
  </r>
  <r>
    <s v="ORD1088"/>
    <s v="Handbag"/>
    <x v="2"/>
    <n v="4229.9399999999996"/>
    <n v="3"/>
    <n v="12689.82"/>
    <x v="79"/>
    <d v="2025-09-25T00:00:00"/>
    <x v="11"/>
    <x v="15"/>
    <x v="2"/>
    <x v="3"/>
    <x v="2"/>
    <x v="29"/>
  </r>
  <r>
    <s v="ORD1089"/>
    <s v="Highlighters"/>
    <x v="3"/>
    <n v="158.47999999999999"/>
    <n v="2"/>
    <n v="316.95999999999998"/>
    <x v="80"/>
    <d v="2025-11-09T00:00:00"/>
    <x v="1"/>
    <x v="4"/>
    <x v="3"/>
    <x v="4"/>
    <x v="0"/>
    <x v="15"/>
  </r>
  <r>
    <s v="ORD1090"/>
    <s v="Coffee Maker"/>
    <x v="1"/>
    <n v="8354.4599999999991"/>
    <n v="1"/>
    <n v="8354.4599999999991"/>
    <x v="81"/>
    <d v="2025-06-01T00:00:00"/>
    <x v="5"/>
    <x v="10"/>
    <x v="2"/>
    <x v="1"/>
    <x v="2"/>
    <x v="19"/>
  </r>
  <r>
    <s v="ORD1091"/>
    <s v="Handbag"/>
    <x v="2"/>
    <n v="2649.71"/>
    <n v="3"/>
    <n v="7949.13"/>
    <x v="75"/>
    <d v="2025-06-26T00:00:00"/>
    <x v="5"/>
    <x v="23"/>
    <x v="1"/>
    <x v="3"/>
    <x v="0"/>
    <x v="33"/>
  </r>
  <r>
    <s v="ORD1092"/>
    <s v="Formal Shirt"/>
    <x v="2"/>
    <n v="1426.59"/>
    <n v="4"/>
    <n v="5706.36"/>
    <x v="82"/>
    <d v="2025-01-27T00:00:00"/>
    <x v="7"/>
    <x v="8"/>
    <x v="4"/>
    <x v="3"/>
    <x v="2"/>
    <x v="17"/>
  </r>
  <r>
    <s v="ORD1093"/>
    <s v="Handbag"/>
    <x v="2"/>
    <n v="4358.95"/>
    <n v="2"/>
    <n v="8717.9"/>
    <x v="83"/>
    <d v="2025-09-21T00:00:00"/>
    <x v="11"/>
    <x v="3"/>
    <x v="2"/>
    <x v="3"/>
    <x v="1"/>
    <x v="9"/>
  </r>
  <r>
    <s v="ORD1094"/>
    <s v="Mascara"/>
    <x v="0"/>
    <n v="1172.45"/>
    <n v="2"/>
    <n v="2344.9"/>
    <x v="84"/>
    <d v="2025-02-13T00:00:00"/>
    <x v="9"/>
    <x v="2"/>
    <x v="2"/>
    <x v="1"/>
    <x v="0"/>
    <x v="17"/>
  </r>
  <r>
    <s v="ORD1095"/>
    <s v="Moisturizer"/>
    <x v="0"/>
    <n v="2167.77"/>
    <n v="5"/>
    <n v="10838.85"/>
    <x v="85"/>
    <d v="2025-07-18T00:00:00"/>
    <x v="3"/>
    <x v="11"/>
    <x v="4"/>
    <x v="0"/>
    <x v="0"/>
    <x v="29"/>
  </r>
  <r>
    <s v="ORD1096"/>
    <s v="Blender"/>
    <x v="1"/>
    <n v="11581.35"/>
    <n v="4"/>
    <n v="46325.4"/>
    <x v="86"/>
    <d v="2025-02-27T00:00:00"/>
    <x v="9"/>
    <x v="14"/>
    <x v="0"/>
    <x v="2"/>
    <x v="0"/>
    <x v="38"/>
  </r>
  <r>
    <s v="ORD1097"/>
    <s v="Moisturizer"/>
    <x v="0"/>
    <n v="2041.32"/>
    <n v="3"/>
    <n v="6123.96"/>
    <x v="31"/>
    <d v="2025-07-07T00:00:00"/>
    <x v="3"/>
    <x v="16"/>
    <x v="4"/>
    <x v="2"/>
    <x v="0"/>
    <x v="37"/>
  </r>
  <r>
    <s v="ORD1098"/>
    <s v="Summer Dress"/>
    <x v="2"/>
    <n v="1192.03"/>
    <n v="5"/>
    <n v="5960.15"/>
    <x v="33"/>
    <d v="2025-07-21T00:00:00"/>
    <x v="3"/>
    <x v="17"/>
    <x v="3"/>
    <x v="1"/>
    <x v="1"/>
    <x v="9"/>
  </r>
  <r>
    <s v="ORD1099"/>
    <s v="Electric Kettle"/>
    <x v="1"/>
    <n v="4946.91"/>
    <n v="1"/>
    <n v="4946.91"/>
    <x v="87"/>
    <d v="2025-08-31T00:00:00"/>
    <x v="10"/>
    <x v="1"/>
    <x v="1"/>
    <x v="0"/>
    <x v="1"/>
    <x v="21"/>
  </r>
  <r>
    <s v="ORD1100"/>
    <s v="Vacuum Cleaner"/>
    <x v="1"/>
    <n v="14487.39"/>
    <n v="3"/>
    <n v="43462.17"/>
    <x v="42"/>
    <d v="2025-08-26T00:00:00"/>
    <x v="10"/>
    <x v="17"/>
    <x v="3"/>
    <x v="3"/>
    <x v="1"/>
    <x v="3"/>
  </r>
  <r>
    <s v="ORD1101"/>
    <s v="Air Fryer"/>
    <x v="1"/>
    <n v="5494.28"/>
    <n v="3"/>
    <n v="16482.84"/>
    <x v="88"/>
    <d v="2025-01-19T00:00:00"/>
    <x v="7"/>
    <x v="12"/>
    <x v="4"/>
    <x v="0"/>
    <x v="0"/>
    <x v="40"/>
  </r>
  <r>
    <s v="ORD1102"/>
    <s v="Nail Polish"/>
    <x v="0"/>
    <n v="2123.89"/>
    <n v="3"/>
    <n v="6371.67"/>
    <x v="89"/>
    <d v="2025-05-04T00:00:00"/>
    <x v="4"/>
    <x v="5"/>
    <x v="2"/>
    <x v="2"/>
    <x v="0"/>
    <x v="40"/>
  </r>
  <r>
    <s v="ORD1103"/>
    <s v="Jeans"/>
    <x v="2"/>
    <n v="4112.6499999999996"/>
    <n v="1"/>
    <n v="4112.6499999999996"/>
    <x v="90"/>
    <d v="2025-06-13T00:00:00"/>
    <x v="5"/>
    <x v="0"/>
    <x v="0"/>
    <x v="4"/>
    <x v="0"/>
    <x v="8"/>
  </r>
  <r>
    <s v="ORD1104"/>
    <s v="Toaster"/>
    <x v="1"/>
    <n v="11590.99"/>
    <n v="2"/>
    <n v="23181.98"/>
    <x v="91"/>
    <d v="2025-04-16T00:00:00"/>
    <x v="0"/>
    <x v="24"/>
    <x v="1"/>
    <x v="1"/>
    <x v="0"/>
    <x v="23"/>
  </r>
  <r>
    <s v="ORD1105"/>
    <s v="Leather Jacket"/>
    <x v="2"/>
    <n v="4155.34"/>
    <n v="4"/>
    <n v="16621.36"/>
    <x v="92"/>
    <d v="2025-06-08T00:00:00"/>
    <x v="5"/>
    <x v="3"/>
    <x v="2"/>
    <x v="3"/>
    <x v="0"/>
    <x v="41"/>
  </r>
  <r>
    <s v="ORD1106"/>
    <s v="Formal Shirt"/>
    <x v="2"/>
    <n v="4368.75"/>
    <n v="5"/>
    <n v="21843.75"/>
    <x v="93"/>
    <d v="2025-07-09T00:00:00"/>
    <x v="3"/>
    <x v="22"/>
    <x v="4"/>
    <x v="4"/>
    <x v="0"/>
    <x v="9"/>
  </r>
  <r>
    <s v="ORD1107"/>
    <s v="Vacuum Cleaner"/>
    <x v="1"/>
    <n v="11611.66"/>
    <n v="3"/>
    <n v="34834.979999999996"/>
    <x v="94"/>
    <d v="2025-11-01T00:00:00"/>
    <x v="1"/>
    <x v="3"/>
    <x v="2"/>
    <x v="2"/>
    <x v="0"/>
    <x v="42"/>
  </r>
  <r>
    <s v="ORD1108"/>
    <s v="Air Fryer"/>
    <x v="1"/>
    <n v="4488.46"/>
    <n v="1"/>
    <n v="4488.46"/>
    <x v="57"/>
    <d v="2025-11-27T00:00:00"/>
    <x v="1"/>
    <x v="15"/>
    <x v="2"/>
    <x v="0"/>
    <x v="1"/>
    <x v="0"/>
  </r>
  <r>
    <s v="ORD1109"/>
    <s v="Electric Kettle"/>
    <x v="1"/>
    <n v="3067.63"/>
    <n v="2"/>
    <n v="6135.26"/>
    <x v="95"/>
    <d v="2025-10-06T00:00:00"/>
    <x v="6"/>
    <x v="8"/>
    <x v="4"/>
    <x v="4"/>
    <x v="0"/>
    <x v="24"/>
  </r>
  <r>
    <s v="ORD1110"/>
    <s v="Highlighters"/>
    <x v="3"/>
    <n v="606.70000000000005"/>
    <n v="2"/>
    <n v="1213.4000000000001"/>
    <x v="96"/>
    <d v="2025-08-08T00:00:00"/>
    <x v="10"/>
    <x v="14"/>
    <x v="0"/>
    <x v="1"/>
    <x v="1"/>
    <x v="23"/>
  </r>
  <r>
    <s v="ORD1111"/>
    <s v="Moisturizer"/>
    <x v="0"/>
    <n v="738.86"/>
    <n v="4"/>
    <n v="2955.44"/>
    <x v="97"/>
    <d v="2025-05-05T00:00:00"/>
    <x v="4"/>
    <x v="19"/>
    <x v="0"/>
    <x v="1"/>
    <x v="0"/>
    <x v="17"/>
  </r>
  <r>
    <s v="ORD1112"/>
    <s v="Microwave"/>
    <x v="1"/>
    <n v="6874.89"/>
    <n v="2"/>
    <n v="13749.78"/>
    <x v="98"/>
    <d v="2025-03-09T00:00:00"/>
    <x v="8"/>
    <x v="7"/>
    <x v="0"/>
    <x v="1"/>
    <x v="2"/>
    <x v="18"/>
  </r>
  <r>
    <s v="ORD1113"/>
    <s v="Blender"/>
    <x v="1"/>
    <n v="14849.08"/>
    <n v="5"/>
    <n v="74245.399999999994"/>
    <x v="99"/>
    <d v="2025-04-18T00:00:00"/>
    <x v="0"/>
    <x v="1"/>
    <x v="1"/>
    <x v="1"/>
    <x v="1"/>
    <x v="31"/>
  </r>
  <r>
    <s v="ORD1114"/>
    <s v="Coffee Maker"/>
    <x v="1"/>
    <n v="3491.98"/>
    <n v="5"/>
    <n v="17459.900000000001"/>
    <x v="11"/>
    <d v="2025-01-06T00:00:00"/>
    <x v="7"/>
    <x v="20"/>
    <x v="3"/>
    <x v="1"/>
    <x v="1"/>
    <x v="43"/>
  </r>
  <r>
    <s v="ORD1115"/>
    <s v="Lipstick"/>
    <x v="0"/>
    <n v="546.55999999999995"/>
    <n v="3"/>
    <n v="1639.6799999999998"/>
    <x v="100"/>
    <d v="2025-05-08T00:00:00"/>
    <x v="4"/>
    <x v="3"/>
    <x v="2"/>
    <x v="2"/>
    <x v="1"/>
    <x v="7"/>
  </r>
  <r>
    <s v="ORD1116"/>
    <s v="Highlighters"/>
    <x v="3"/>
    <n v="135.24"/>
    <n v="1"/>
    <n v="135.24"/>
    <x v="101"/>
    <d v="2025-09-06T00:00:00"/>
    <x v="11"/>
    <x v="10"/>
    <x v="2"/>
    <x v="1"/>
    <x v="1"/>
    <x v="44"/>
  </r>
  <r>
    <s v="ORD1117"/>
    <s v="T-Shirt"/>
    <x v="2"/>
    <n v="3406.24"/>
    <n v="5"/>
    <n v="17031.199999999997"/>
    <x v="102"/>
    <d v="2025-06-09T00:00:00"/>
    <x v="5"/>
    <x v="13"/>
    <x v="0"/>
    <x v="3"/>
    <x v="0"/>
    <x v="39"/>
  </r>
  <r>
    <s v="ORD1118"/>
    <s v="Nail Polish"/>
    <x v="0"/>
    <n v="1852.9"/>
    <n v="4"/>
    <n v="7411.6"/>
    <x v="103"/>
    <d v="2025-02-09T00:00:00"/>
    <x v="9"/>
    <x v="10"/>
    <x v="2"/>
    <x v="2"/>
    <x v="1"/>
    <x v="23"/>
  </r>
  <r>
    <s v="ORD1119"/>
    <s v="Electric Kettle"/>
    <x v="1"/>
    <n v="14927.47"/>
    <n v="5"/>
    <n v="74637.349999999991"/>
    <x v="104"/>
    <d v="2025-06-05T00:00:00"/>
    <x v="5"/>
    <x v="21"/>
    <x v="1"/>
    <x v="3"/>
    <x v="1"/>
    <x v="45"/>
  </r>
  <r>
    <s v="ORD1120"/>
    <s v="Eyeliner"/>
    <x v="0"/>
    <n v="1217.6600000000001"/>
    <n v="2"/>
    <n v="2435.3200000000002"/>
    <x v="32"/>
    <d v="2025-08-04T00:00:00"/>
    <x v="10"/>
    <x v="8"/>
    <x v="4"/>
    <x v="3"/>
    <x v="0"/>
    <x v="35"/>
  </r>
  <r>
    <s v="ORD1121"/>
    <s v="Desk Organizer"/>
    <x v="3"/>
    <n v="548.83000000000004"/>
    <n v="3"/>
    <n v="1646.4900000000002"/>
    <x v="105"/>
    <d v="2025-03-27T00:00:00"/>
    <x v="8"/>
    <x v="22"/>
    <x v="4"/>
    <x v="0"/>
    <x v="0"/>
    <x v="8"/>
  </r>
  <r>
    <s v="ORD1122"/>
    <s v="Notebook"/>
    <x v="3"/>
    <n v="608.44000000000005"/>
    <n v="3"/>
    <n v="1825.3200000000002"/>
    <x v="106"/>
    <d v="2025-03-14T00:00:00"/>
    <x v="8"/>
    <x v="0"/>
    <x v="0"/>
    <x v="1"/>
    <x v="0"/>
    <x v="5"/>
  </r>
  <r>
    <s v="ORD1123"/>
    <s v="Perfume"/>
    <x v="0"/>
    <n v="1045.5999999999999"/>
    <n v="4"/>
    <n v="4182.3999999999996"/>
    <x v="107"/>
    <d v="2025-01-31T00:00:00"/>
    <x v="7"/>
    <x v="24"/>
    <x v="1"/>
    <x v="4"/>
    <x v="1"/>
    <x v="44"/>
  </r>
  <r>
    <s v="ORD1124"/>
    <s v="Summer Dress"/>
    <x v="2"/>
    <n v="3123.51"/>
    <n v="2"/>
    <n v="6247.02"/>
    <x v="108"/>
    <d v="2025-03-01T00:00:00"/>
    <x v="8"/>
    <x v="24"/>
    <x v="1"/>
    <x v="0"/>
    <x v="0"/>
    <x v="37"/>
  </r>
  <r>
    <s v="ORD1125"/>
    <s v="Formal Shirt"/>
    <x v="2"/>
    <n v="3879.07"/>
    <n v="5"/>
    <n v="19395.350000000002"/>
    <x v="109"/>
    <d v="2025-11-18T00:00:00"/>
    <x v="1"/>
    <x v="9"/>
    <x v="1"/>
    <x v="1"/>
    <x v="0"/>
    <x v="45"/>
  </r>
  <r>
    <s v="ORD1126"/>
    <s v="Microwave"/>
    <x v="1"/>
    <n v="3935.62"/>
    <n v="3"/>
    <n v="11806.86"/>
    <x v="110"/>
    <d v="2025-06-27T00:00:00"/>
    <x v="5"/>
    <x v="7"/>
    <x v="0"/>
    <x v="2"/>
    <x v="0"/>
    <x v="6"/>
  </r>
  <r>
    <s v="ORD1127"/>
    <s v="Mascara"/>
    <x v="0"/>
    <n v="1917.18"/>
    <n v="1"/>
    <n v="1917.18"/>
    <x v="111"/>
    <d v="2025-02-23T00:00:00"/>
    <x v="9"/>
    <x v="1"/>
    <x v="1"/>
    <x v="3"/>
    <x v="1"/>
    <x v="2"/>
  </r>
  <r>
    <s v="ORD1128"/>
    <s v="Socks"/>
    <x v="2"/>
    <n v="1739.67"/>
    <n v="3"/>
    <n v="5219.01"/>
    <x v="112"/>
    <d v="2025-10-24T00:00:00"/>
    <x v="6"/>
    <x v="13"/>
    <x v="0"/>
    <x v="2"/>
    <x v="1"/>
    <x v="42"/>
  </r>
  <r>
    <s v="ORD1129"/>
    <s v="Foundation"/>
    <x v="0"/>
    <n v="862.23"/>
    <n v="4"/>
    <n v="3448.92"/>
    <x v="113"/>
    <d v="2025-09-12T00:00:00"/>
    <x v="11"/>
    <x v="8"/>
    <x v="4"/>
    <x v="4"/>
    <x v="1"/>
    <x v="44"/>
  </r>
  <r>
    <s v="ORD1130"/>
    <s v="Moisturizer"/>
    <x v="0"/>
    <n v="1217.31"/>
    <n v="3"/>
    <n v="3651.93"/>
    <x v="34"/>
    <d v="2025-12-21T00:00:00"/>
    <x v="2"/>
    <x v="23"/>
    <x v="1"/>
    <x v="1"/>
    <x v="0"/>
    <x v="0"/>
  </r>
  <r>
    <s v="ORD1131"/>
    <s v="Formal Shirt"/>
    <x v="2"/>
    <n v="4437.63"/>
    <n v="1"/>
    <n v="4437.63"/>
    <x v="114"/>
    <d v="2025-01-07T00:00:00"/>
    <x v="7"/>
    <x v="5"/>
    <x v="2"/>
    <x v="2"/>
    <x v="0"/>
    <x v="4"/>
  </r>
  <r>
    <s v="ORD1132"/>
    <s v="Microwave"/>
    <x v="1"/>
    <n v="1604.35"/>
    <n v="4"/>
    <n v="6417.4"/>
    <x v="115"/>
    <d v="2025-04-03T00:00:00"/>
    <x v="0"/>
    <x v="11"/>
    <x v="4"/>
    <x v="2"/>
    <x v="0"/>
    <x v="5"/>
  </r>
  <r>
    <s v="ORD1133"/>
    <s v="Microwave"/>
    <x v="1"/>
    <n v="6860.46"/>
    <n v="1"/>
    <n v="6860.46"/>
    <x v="116"/>
    <d v="2025-08-14T00:00:00"/>
    <x v="10"/>
    <x v="22"/>
    <x v="4"/>
    <x v="4"/>
    <x v="0"/>
    <x v="37"/>
  </r>
  <r>
    <s v="ORD1134"/>
    <s v="Sticker Pack"/>
    <x v="3"/>
    <n v="530.11"/>
    <n v="3"/>
    <n v="1590.33"/>
    <x v="117"/>
    <d v="2025-03-05T00:00:00"/>
    <x v="8"/>
    <x v="19"/>
    <x v="0"/>
    <x v="2"/>
    <x v="0"/>
    <x v="42"/>
  </r>
  <r>
    <s v="ORD1135"/>
    <s v="Fountain Pen"/>
    <x v="3"/>
    <n v="567.21"/>
    <n v="3"/>
    <n v="1701.63"/>
    <x v="118"/>
    <d v="2025-02-20T00:00:00"/>
    <x v="9"/>
    <x v="7"/>
    <x v="0"/>
    <x v="3"/>
    <x v="0"/>
    <x v="11"/>
  </r>
  <r>
    <s v="ORD1136"/>
    <s v="Perfume"/>
    <x v="0"/>
    <n v="2208.6799999999998"/>
    <n v="3"/>
    <n v="6626.0399999999991"/>
    <x v="119"/>
    <d v="2025-04-28T00:00:00"/>
    <x v="0"/>
    <x v="4"/>
    <x v="3"/>
    <x v="1"/>
    <x v="0"/>
    <x v="11"/>
  </r>
  <r>
    <s v="ORD1137"/>
    <s v="Socks"/>
    <x v="2"/>
    <n v="1897.91"/>
    <n v="2"/>
    <n v="3795.82"/>
    <x v="97"/>
    <d v="2025-05-03T00:00:00"/>
    <x v="4"/>
    <x v="18"/>
    <x v="3"/>
    <x v="2"/>
    <x v="1"/>
    <x v="41"/>
  </r>
  <r>
    <s v="ORD1138"/>
    <s v="Mascara"/>
    <x v="0"/>
    <n v="2390.41"/>
    <n v="4"/>
    <n v="9561.64"/>
    <x v="59"/>
    <d v="2025-09-01T00:00:00"/>
    <x v="11"/>
    <x v="23"/>
    <x v="1"/>
    <x v="1"/>
    <x v="0"/>
    <x v="42"/>
  </r>
  <r>
    <s v="ORD1139"/>
    <s v="Coffee Maker"/>
    <x v="1"/>
    <n v="14608.14"/>
    <n v="3"/>
    <n v="43824.42"/>
    <x v="67"/>
    <d v="2025-03-24T00:00:00"/>
    <x v="8"/>
    <x v="14"/>
    <x v="0"/>
    <x v="3"/>
    <x v="0"/>
    <x v="23"/>
  </r>
  <r>
    <s v="ORD1140"/>
    <s v="Moisturizer"/>
    <x v="0"/>
    <n v="1391.51"/>
    <n v="3"/>
    <n v="4174.53"/>
    <x v="19"/>
    <d v="2025-08-30T00:00:00"/>
    <x v="10"/>
    <x v="13"/>
    <x v="0"/>
    <x v="4"/>
    <x v="0"/>
    <x v="13"/>
  </r>
  <r>
    <s v="ORD1141"/>
    <s v="Perfume"/>
    <x v="0"/>
    <n v="1291.0999999999999"/>
    <n v="5"/>
    <n v="6455.5"/>
    <x v="120"/>
    <d v="2025-01-27T00:00:00"/>
    <x v="7"/>
    <x v="1"/>
    <x v="1"/>
    <x v="4"/>
    <x v="0"/>
    <x v="44"/>
  </r>
  <r>
    <s v="ORD1142"/>
    <s v="T-Shirt"/>
    <x v="2"/>
    <n v="2296.6"/>
    <n v="3"/>
    <n v="6889.7999999999993"/>
    <x v="14"/>
    <d v="2026-01-03T00:00:00"/>
    <x v="7"/>
    <x v="1"/>
    <x v="1"/>
    <x v="0"/>
    <x v="1"/>
    <x v="1"/>
  </r>
  <r>
    <s v="ORD1143"/>
    <s v="Highlighters"/>
    <x v="3"/>
    <n v="442.06"/>
    <n v="2"/>
    <n v="884.12"/>
    <x v="121"/>
    <d v="2025-07-10T00:00:00"/>
    <x v="3"/>
    <x v="15"/>
    <x v="2"/>
    <x v="3"/>
    <x v="0"/>
    <x v="40"/>
  </r>
  <r>
    <s v="ORD1144"/>
    <s v="Moisturizer"/>
    <x v="0"/>
    <n v="398.3"/>
    <n v="1"/>
    <n v="398.3"/>
    <x v="122"/>
    <d v="2025-10-20T00:00:00"/>
    <x v="6"/>
    <x v="12"/>
    <x v="4"/>
    <x v="4"/>
    <x v="0"/>
    <x v="5"/>
  </r>
  <r>
    <s v="ORD1145"/>
    <s v="Socks"/>
    <x v="2"/>
    <n v="816.82"/>
    <n v="2"/>
    <n v="1633.64"/>
    <x v="123"/>
    <d v="2025-07-03T00:00:00"/>
    <x v="3"/>
    <x v="16"/>
    <x v="4"/>
    <x v="1"/>
    <x v="0"/>
    <x v="8"/>
  </r>
  <r>
    <s v="ORD1146"/>
    <s v="Air Fryer"/>
    <x v="1"/>
    <n v="6585.17"/>
    <n v="3"/>
    <n v="19755.510000000002"/>
    <x v="38"/>
    <d v="2025-03-14T00:00:00"/>
    <x v="8"/>
    <x v="9"/>
    <x v="1"/>
    <x v="3"/>
    <x v="0"/>
    <x v="38"/>
  </r>
  <r>
    <s v="ORD1147"/>
    <s v="Toaster"/>
    <x v="1"/>
    <n v="3933.55"/>
    <n v="2"/>
    <n v="7867.1"/>
    <x v="60"/>
    <d v="2025-06-29T00:00:00"/>
    <x v="5"/>
    <x v="20"/>
    <x v="3"/>
    <x v="2"/>
    <x v="1"/>
    <x v="4"/>
  </r>
  <r>
    <s v="ORD1148"/>
    <s v="Lipstick"/>
    <x v="0"/>
    <n v="1739.34"/>
    <n v="5"/>
    <n v="8696.6999999999989"/>
    <x v="124"/>
    <d v="2025-03-15T00:00:00"/>
    <x v="8"/>
    <x v="16"/>
    <x v="4"/>
    <x v="2"/>
    <x v="1"/>
    <x v="45"/>
  </r>
  <r>
    <s v="ORD1149"/>
    <s v="Handbag"/>
    <x v="2"/>
    <n v="665.21"/>
    <n v="3"/>
    <n v="1995.63"/>
    <x v="125"/>
    <d v="2025-12-20T00:00:00"/>
    <x v="2"/>
    <x v="17"/>
    <x v="3"/>
    <x v="1"/>
    <x v="1"/>
    <x v="24"/>
  </r>
  <r>
    <s v="ORD1150"/>
    <s v="Gel Pen Set"/>
    <x v="3"/>
    <n v="450.51"/>
    <n v="3"/>
    <n v="1351.53"/>
    <x v="74"/>
    <d v="2025-09-01T00:00:00"/>
    <x v="11"/>
    <x v="10"/>
    <x v="2"/>
    <x v="3"/>
    <x v="1"/>
    <x v="4"/>
  </r>
  <r>
    <s v="ORD1151"/>
    <s v="Highlighters"/>
    <x v="3"/>
    <n v="445.59"/>
    <n v="2"/>
    <n v="891.18"/>
    <x v="91"/>
    <d v="2025-04-19T00:00:00"/>
    <x v="0"/>
    <x v="18"/>
    <x v="3"/>
    <x v="0"/>
    <x v="0"/>
    <x v="34"/>
  </r>
  <r>
    <s v="ORD1152"/>
    <s v="Foundation"/>
    <x v="0"/>
    <n v="891.39"/>
    <n v="2"/>
    <n v="1782.78"/>
    <x v="126"/>
    <d v="2025-05-25T00:00:00"/>
    <x v="4"/>
    <x v="1"/>
    <x v="1"/>
    <x v="3"/>
    <x v="1"/>
    <x v="31"/>
  </r>
  <r>
    <s v="ORD1153"/>
    <s v="Desk Organizer"/>
    <x v="3"/>
    <n v="747.85"/>
    <n v="4"/>
    <n v="2991.4"/>
    <x v="127"/>
    <d v="2025-02-02T00:00:00"/>
    <x v="9"/>
    <x v="24"/>
    <x v="1"/>
    <x v="2"/>
    <x v="1"/>
    <x v="8"/>
  </r>
  <r>
    <s v="ORD1154"/>
    <s v="Blender"/>
    <x v="1"/>
    <n v="1880.53"/>
    <n v="1"/>
    <n v="1880.53"/>
    <x v="14"/>
    <d v="2026-01-08T00:00:00"/>
    <x v="7"/>
    <x v="5"/>
    <x v="2"/>
    <x v="2"/>
    <x v="1"/>
    <x v="32"/>
  </r>
  <r>
    <s v="ORD1155"/>
    <s v="Handbag"/>
    <x v="2"/>
    <n v="2288.89"/>
    <n v="1"/>
    <n v="2288.89"/>
    <x v="128"/>
    <d v="2025-02-12T00:00:00"/>
    <x v="9"/>
    <x v="5"/>
    <x v="2"/>
    <x v="2"/>
    <x v="0"/>
    <x v="36"/>
  </r>
  <r>
    <s v="ORD1156"/>
    <s v="Notebook"/>
    <x v="3"/>
    <n v="632.13"/>
    <n v="2"/>
    <n v="1264.26"/>
    <x v="102"/>
    <d v="2025-06-06T00:00:00"/>
    <x v="5"/>
    <x v="7"/>
    <x v="0"/>
    <x v="3"/>
    <x v="0"/>
    <x v="42"/>
  </r>
  <r>
    <s v="ORD1157"/>
    <s v="Notebook"/>
    <x v="3"/>
    <n v="133.13999999999999"/>
    <n v="4"/>
    <n v="532.55999999999995"/>
    <x v="129"/>
    <d v="2025-11-08T00:00:00"/>
    <x v="1"/>
    <x v="0"/>
    <x v="0"/>
    <x v="1"/>
    <x v="1"/>
    <x v="41"/>
  </r>
  <r>
    <s v="ORD1158"/>
    <s v="Electric Kettle"/>
    <x v="1"/>
    <n v="1521.12"/>
    <n v="3"/>
    <n v="4563.3599999999997"/>
    <x v="130"/>
    <d v="2025-05-10T00:00:00"/>
    <x v="4"/>
    <x v="16"/>
    <x v="4"/>
    <x v="0"/>
    <x v="0"/>
    <x v="34"/>
  </r>
  <r>
    <s v="ORD1159"/>
    <s v="Lipstick"/>
    <x v="0"/>
    <n v="1128.52"/>
    <n v="4"/>
    <n v="4514.08"/>
    <x v="82"/>
    <d v="2025-01-30T00:00:00"/>
    <x v="7"/>
    <x v="12"/>
    <x v="4"/>
    <x v="4"/>
    <x v="0"/>
    <x v="21"/>
  </r>
  <r>
    <s v="ORD1160"/>
    <s v="Moisturizer"/>
    <x v="0"/>
    <n v="792.53"/>
    <n v="1"/>
    <n v="792.53"/>
    <x v="131"/>
    <d v="2025-11-01T00:00:00"/>
    <x v="1"/>
    <x v="5"/>
    <x v="2"/>
    <x v="0"/>
    <x v="1"/>
    <x v="2"/>
  </r>
  <r>
    <s v="ORD1161"/>
    <s v="Handbag"/>
    <x v="2"/>
    <n v="4423.08"/>
    <n v="4"/>
    <n v="17692.32"/>
    <x v="132"/>
    <d v="2025-11-23T00:00:00"/>
    <x v="1"/>
    <x v="4"/>
    <x v="3"/>
    <x v="3"/>
    <x v="1"/>
    <x v="33"/>
  </r>
  <r>
    <s v="ORD1162"/>
    <s v="Eyeliner"/>
    <x v="0"/>
    <n v="2243.0300000000002"/>
    <n v="3"/>
    <n v="6729.09"/>
    <x v="90"/>
    <d v="2025-06-14T00:00:00"/>
    <x v="5"/>
    <x v="11"/>
    <x v="4"/>
    <x v="3"/>
    <x v="1"/>
    <x v="17"/>
  </r>
  <r>
    <s v="ORD1163"/>
    <s v="Leather Jacket"/>
    <x v="2"/>
    <n v="1921.47"/>
    <n v="1"/>
    <n v="1921.47"/>
    <x v="133"/>
    <d v="2025-12-06T00:00:00"/>
    <x v="2"/>
    <x v="3"/>
    <x v="2"/>
    <x v="4"/>
    <x v="1"/>
    <x v="6"/>
  </r>
  <r>
    <s v="ORD1164"/>
    <s v="Sketchbook"/>
    <x v="3"/>
    <n v="304.27999999999997"/>
    <n v="2"/>
    <n v="608.55999999999995"/>
    <x v="134"/>
    <d v="2025-09-19T00:00:00"/>
    <x v="11"/>
    <x v="12"/>
    <x v="4"/>
    <x v="1"/>
    <x v="1"/>
    <x v="8"/>
  </r>
  <r>
    <s v="ORD1165"/>
    <s v="Notebook"/>
    <x v="3"/>
    <n v="372.96"/>
    <n v="2"/>
    <n v="745.92"/>
    <x v="30"/>
    <d v="2025-10-11T00:00:00"/>
    <x v="6"/>
    <x v="3"/>
    <x v="2"/>
    <x v="0"/>
    <x v="1"/>
    <x v="4"/>
  </r>
  <r>
    <s v="ORD1166"/>
    <s v="Electric Kettle"/>
    <x v="1"/>
    <n v="9635.39"/>
    <n v="4"/>
    <n v="38541.56"/>
    <x v="20"/>
    <d v="2025-04-03T00:00:00"/>
    <x v="0"/>
    <x v="12"/>
    <x v="4"/>
    <x v="3"/>
    <x v="1"/>
    <x v="21"/>
  </r>
  <r>
    <s v="ORD1167"/>
    <s v="Desk Organizer"/>
    <x v="3"/>
    <n v="529.6"/>
    <n v="1"/>
    <n v="529.6"/>
    <x v="84"/>
    <d v="2025-02-15T00:00:00"/>
    <x v="9"/>
    <x v="12"/>
    <x v="4"/>
    <x v="1"/>
    <x v="0"/>
    <x v="40"/>
  </r>
  <r>
    <s v="ORD1168"/>
    <s v="T-Shirt"/>
    <x v="2"/>
    <n v="1062.55"/>
    <n v="5"/>
    <n v="5312.75"/>
    <x v="34"/>
    <d v="2025-12-19T00:00:00"/>
    <x v="2"/>
    <x v="7"/>
    <x v="0"/>
    <x v="0"/>
    <x v="1"/>
    <x v="17"/>
  </r>
  <r>
    <s v="ORD1169"/>
    <s v="Toaster"/>
    <x v="1"/>
    <n v="6668.53"/>
    <n v="5"/>
    <n v="33342.65"/>
    <x v="135"/>
    <d v="2025-01-23T00:00:00"/>
    <x v="7"/>
    <x v="17"/>
    <x v="3"/>
    <x v="4"/>
    <x v="1"/>
    <x v="13"/>
  </r>
  <r>
    <s v="ORD1170"/>
    <s v="Socks"/>
    <x v="2"/>
    <n v="2086.12"/>
    <n v="3"/>
    <n v="6258.36"/>
    <x v="136"/>
    <d v="2025-05-10T00:00:00"/>
    <x v="4"/>
    <x v="7"/>
    <x v="0"/>
    <x v="3"/>
    <x v="0"/>
    <x v="22"/>
  </r>
  <r>
    <s v="ORD1171"/>
    <s v="Sunscreen"/>
    <x v="0"/>
    <n v="1993.67"/>
    <n v="4"/>
    <n v="7974.68"/>
    <x v="137"/>
    <d v="2025-04-26T00:00:00"/>
    <x v="0"/>
    <x v="15"/>
    <x v="2"/>
    <x v="2"/>
    <x v="1"/>
    <x v="13"/>
  </r>
  <r>
    <s v="ORD1172"/>
    <s v="Gel Pen Set"/>
    <x v="3"/>
    <n v="724.01"/>
    <n v="4"/>
    <n v="2896.04"/>
    <x v="138"/>
    <d v="2025-02-21T00:00:00"/>
    <x v="9"/>
    <x v="2"/>
    <x v="2"/>
    <x v="0"/>
    <x v="0"/>
    <x v="4"/>
  </r>
  <r>
    <s v="ORD1173"/>
    <s v="Coffee Maker"/>
    <x v="1"/>
    <n v="3626.32"/>
    <n v="2"/>
    <n v="7252.64"/>
    <x v="4"/>
    <d v="2025-07-11T00:00:00"/>
    <x v="3"/>
    <x v="4"/>
    <x v="3"/>
    <x v="2"/>
    <x v="0"/>
    <x v="29"/>
  </r>
  <r>
    <s v="ORD1174"/>
    <s v="Notebook"/>
    <x v="3"/>
    <n v="320.67"/>
    <n v="5"/>
    <n v="1603.3500000000001"/>
    <x v="139"/>
    <d v="2025-07-13T00:00:00"/>
    <x v="3"/>
    <x v="1"/>
    <x v="1"/>
    <x v="1"/>
    <x v="0"/>
    <x v="13"/>
  </r>
  <r>
    <s v="ORD1175"/>
    <s v="Electric Kettle"/>
    <x v="1"/>
    <n v="14994.53"/>
    <n v="4"/>
    <n v="59978.12"/>
    <x v="140"/>
    <d v="2025-10-02T00:00:00"/>
    <x v="6"/>
    <x v="11"/>
    <x v="4"/>
    <x v="0"/>
    <x v="1"/>
    <x v="35"/>
  </r>
  <r>
    <s v="ORD1176"/>
    <s v="Nail Polish"/>
    <x v="0"/>
    <n v="1298.1199999999999"/>
    <n v="5"/>
    <n v="6490.5999999999995"/>
    <x v="3"/>
    <d v="2025-06-29T00:00:00"/>
    <x v="5"/>
    <x v="21"/>
    <x v="1"/>
    <x v="2"/>
    <x v="0"/>
    <x v="7"/>
  </r>
  <r>
    <s v="ORD1177"/>
    <s v="Highlighters"/>
    <x v="3"/>
    <n v="733.03"/>
    <n v="1"/>
    <n v="733.03"/>
    <x v="141"/>
    <d v="2025-03-11T00:00:00"/>
    <x v="8"/>
    <x v="18"/>
    <x v="3"/>
    <x v="2"/>
    <x v="1"/>
    <x v="30"/>
  </r>
  <r>
    <s v="ORD1178"/>
    <s v="Socks"/>
    <x v="2"/>
    <n v="4289.41"/>
    <n v="5"/>
    <n v="21447.05"/>
    <x v="142"/>
    <d v="2025-05-28T00:00:00"/>
    <x v="4"/>
    <x v="5"/>
    <x v="2"/>
    <x v="1"/>
    <x v="1"/>
    <x v="28"/>
  </r>
  <r>
    <s v="ORD1179"/>
    <s v="Air Fryer"/>
    <x v="1"/>
    <n v="8701.9500000000007"/>
    <n v="5"/>
    <n v="43509.75"/>
    <x v="143"/>
    <d v="2025-11-28T00:00:00"/>
    <x v="1"/>
    <x v="21"/>
    <x v="1"/>
    <x v="2"/>
    <x v="1"/>
    <x v="42"/>
  </r>
  <r>
    <s v="ORD1180"/>
    <s v="Coffee Maker"/>
    <x v="1"/>
    <n v="13973.05"/>
    <n v="1"/>
    <n v="13973.05"/>
    <x v="50"/>
    <d v="2025-01-17T00:00:00"/>
    <x v="7"/>
    <x v="0"/>
    <x v="0"/>
    <x v="4"/>
    <x v="0"/>
    <x v="37"/>
  </r>
  <r>
    <s v="ORD1181"/>
    <s v="Highlighters"/>
    <x v="3"/>
    <n v="529.24"/>
    <n v="4"/>
    <n v="2116.96"/>
    <x v="144"/>
    <d v="2025-11-24T00:00:00"/>
    <x v="1"/>
    <x v="2"/>
    <x v="2"/>
    <x v="3"/>
    <x v="1"/>
    <x v="40"/>
  </r>
  <r>
    <s v="ORD1182"/>
    <s v="Desk Organizer"/>
    <x v="3"/>
    <n v="390.16"/>
    <n v="1"/>
    <n v="390.16"/>
    <x v="23"/>
    <d v="2025-03-27T00:00:00"/>
    <x v="8"/>
    <x v="8"/>
    <x v="4"/>
    <x v="3"/>
    <x v="1"/>
    <x v="12"/>
  </r>
  <r>
    <s v="ORD1183"/>
    <s v="Socks"/>
    <x v="2"/>
    <n v="3944.56"/>
    <n v="3"/>
    <n v="11833.68"/>
    <x v="3"/>
    <d v="2025-07-01T00:00:00"/>
    <x v="3"/>
    <x v="18"/>
    <x v="3"/>
    <x v="1"/>
    <x v="0"/>
    <x v="35"/>
  </r>
  <r>
    <s v="ORD1184"/>
    <s v="Handbag"/>
    <x v="2"/>
    <n v="981.31"/>
    <n v="4"/>
    <n v="3925.24"/>
    <x v="24"/>
    <d v="2025-05-10T00:00:00"/>
    <x v="4"/>
    <x v="13"/>
    <x v="0"/>
    <x v="4"/>
    <x v="0"/>
    <x v="42"/>
  </r>
  <r>
    <s v="ORD1185"/>
    <s v="Gel Pen Set"/>
    <x v="3"/>
    <n v="772.01"/>
    <n v="2"/>
    <n v="1544.02"/>
    <x v="145"/>
    <d v="2025-06-23T00:00:00"/>
    <x v="5"/>
    <x v="5"/>
    <x v="2"/>
    <x v="2"/>
    <x v="0"/>
    <x v="44"/>
  </r>
  <r>
    <s v="ORD1186"/>
    <s v="Sketchbook"/>
    <x v="3"/>
    <n v="709.31"/>
    <n v="4"/>
    <n v="2837.24"/>
    <x v="88"/>
    <d v="2025-01-14T00:00:00"/>
    <x v="7"/>
    <x v="11"/>
    <x v="4"/>
    <x v="3"/>
    <x v="0"/>
    <x v="14"/>
  </r>
  <r>
    <s v="ORD1187"/>
    <s v="Microwave"/>
    <x v="1"/>
    <n v="2182.3000000000002"/>
    <n v="4"/>
    <n v="8729.2000000000007"/>
    <x v="129"/>
    <d v="2025-11-09T00:00:00"/>
    <x v="1"/>
    <x v="12"/>
    <x v="4"/>
    <x v="1"/>
    <x v="1"/>
    <x v="10"/>
  </r>
  <r>
    <s v="ORD1188"/>
    <s v="Gel Pen Set"/>
    <x v="3"/>
    <n v="711.84"/>
    <n v="3"/>
    <n v="2135.52"/>
    <x v="146"/>
    <d v="2025-07-30T00:00:00"/>
    <x v="3"/>
    <x v="14"/>
    <x v="0"/>
    <x v="0"/>
    <x v="0"/>
    <x v="33"/>
  </r>
  <r>
    <s v="ORD1189"/>
    <s v="Air Fryer"/>
    <x v="1"/>
    <n v="5396.12"/>
    <n v="4"/>
    <n v="21584.48"/>
    <x v="28"/>
    <d v="2025-09-21T00:00:00"/>
    <x v="11"/>
    <x v="24"/>
    <x v="1"/>
    <x v="1"/>
    <x v="0"/>
    <x v="26"/>
  </r>
  <r>
    <s v="ORD1190"/>
    <s v="Jeans"/>
    <x v="2"/>
    <n v="2069.5500000000002"/>
    <n v="3"/>
    <n v="6208.6500000000005"/>
    <x v="122"/>
    <d v="2025-10-17T00:00:00"/>
    <x v="6"/>
    <x v="20"/>
    <x v="3"/>
    <x v="1"/>
    <x v="0"/>
    <x v="44"/>
  </r>
  <r>
    <s v="ORD1191"/>
    <s v="Lipstick"/>
    <x v="0"/>
    <n v="337.56"/>
    <n v="3"/>
    <n v="1012.6800000000001"/>
    <x v="40"/>
    <d v="2025-09-06T00:00:00"/>
    <x v="11"/>
    <x v="16"/>
    <x v="4"/>
    <x v="1"/>
    <x v="0"/>
    <x v="7"/>
  </r>
  <r>
    <s v="ORD1192"/>
    <s v="Air Fryer"/>
    <x v="1"/>
    <n v="5800.16"/>
    <n v="4"/>
    <n v="23200.639999999999"/>
    <x v="147"/>
    <d v="2025-11-19T00:00:00"/>
    <x v="1"/>
    <x v="10"/>
    <x v="2"/>
    <x v="4"/>
    <x v="0"/>
    <x v="44"/>
  </r>
  <r>
    <s v="ORD1193"/>
    <s v="Sticker Pack"/>
    <x v="3"/>
    <n v="472.19"/>
    <n v="4"/>
    <n v="1888.76"/>
    <x v="148"/>
    <d v="2025-01-13T00:00:00"/>
    <x v="7"/>
    <x v="3"/>
    <x v="2"/>
    <x v="3"/>
    <x v="0"/>
    <x v="36"/>
  </r>
  <r>
    <s v="ORD1194"/>
    <s v="Nail Polish"/>
    <x v="0"/>
    <n v="847.44"/>
    <n v="5"/>
    <n v="4237.2000000000007"/>
    <x v="149"/>
    <d v="2025-10-26T00:00:00"/>
    <x v="6"/>
    <x v="0"/>
    <x v="0"/>
    <x v="3"/>
    <x v="1"/>
    <x v="28"/>
  </r>
  <r>
    <s v="ORD1195"/>
    <s v="Gel Pen Set"/>
    <x v="3"/>
    <n v="666.25"/>
    <n v="2"/>
    <n v="1332.5"/>
    <x v="135"/>
    <d v="2025-01-23T00:00:00"/>
    <x v="7"/>
    <x v="7"/>
    <x v="0"/>
    <x v="0"/>
    <x v="1"/>
    <x v="15"/>
  </r>
  <r>
    <s v="ORD1196"/>
    <s v="Formal Shirt"/>
    <x v="2"/>
    <n v="3258.91"/>
    <n v="4"/>
    <n v="13035.64"/>
    <x v="150"/>
    <d v="2025-09-20T00:00:00"/>
    <x v="11"/>
    <x v="22"/>
    <x v="4"/>
    <x v="2"/>
    <x v="0"/>
    <x v="22"/>
  </r>
  <r>
    <s v="ORD1197"/>
    <s v="Vacuum Cleaner"/>
    <x v="1"/>
    <n v="7958.01"/>
    <n v="4"/>
    <n v="31832.04"/>
    <x v="151"/>
    <d v="2025-06-13T00:00:00"/>
    <x v="5"/>
    <x v="11"/>
    <x v="4"/>
    <x v="4"/>
    <x v="0"/>
    <x v="40"/>
  </r>
  <r>
    <s v="ORD1198"/>
    <s v="Air Fryer"/>
    <x v="1"/>
    <n v="8036.43"/>
    <n v="2"/>
    <n v="16072.86"/>
    <x v="5"/>
    <d v="2025-05-29T00:00:00"/>
    <x v="4"/>
    <x v="5"/>
    <x v="2"/>
    <x v="4"/>
    <x v="0"/>
    <x v="30"/>
  </r>
  <r>
    <s v="ORD1199"/>
    <s v="Handbag"/>
    <x v="2"/>
    <n v="1761.33"/>
    <n v="3"/>
    <n v="5283.99"/>
    <x v="152"/>
    <d v="2025-10-21T00:00:00"/>
    <x v="6"/>
    <x v="2"/>
    <x v="2"/>
    <x v="0"/>
    <x v="0"/>
    <x v="16"/>
  </r>
  <r>
    <s v="ORD1200"/>
    <s v="Sketchbook"/>
    <x v="3"/>
    <n v="663.78"/>
    <n v="2"/>
    <n v="1327.56"/>
    <x v="153"/>
    <d v="2025-05-31T00:00:00"/>
    <x v="4"/>
    <x v="3"/>
    <x v="2"/>
    <x v="4"/>
    <x v="0"/>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926FF3-8FA2-4B6E-A290-01922D80BBA4}"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3">
  <location ref="S13:T19" firstHeaderRow="1" firstDataRow="1" firstDataCol="1"/>
  <pivotFields count="16">
    <pivotField showAll="0"/>
    <pivotField showAll="0"/>
    <pivotField showAll="0">
      <items count="5">
        <item x="0"/>
        <item x="2"/>
        <item x="1"/>
        <item x="3"/>
        <item t="default"/>
      </items>
    </pivotField>
    <pivotField numFmtId="165" showAll="0"/>
    <pivotField showAll="0"/>
    <pivotField dataField="1" numFmtId="165" showAll="0"/>
    <pivotField numFmtId="164" showAll="0">
      <items count="15">
        <item x="0"/>
        <item x="1"/>
        <item x="2"/>
        <item x="3"/>
        <item x="4"/>
        <item x="5"/>
        <item x="6"/>
        <item x="7"/>
        <item x="8"/>
        <item x="9"/>
        <item x="10"/>
        <item x="11"/>
        <item x="12"/>
        <item x="13"/>
        <item t="default"/>
      </items>
    </pivotField>
    <pivotField numFmtId="164" showAll="0"/>
    <pivotField showAll="0"/>
    <pivotField axis="axisRow" showAll="0" measureFilter="1" sortType="descending">
      <items count="26">
        <item x="10"/>
        <item x="3"/>
        <item x="9"/>
        <item x="1"/>
        <item x="2"/>
        <item x="22"/>
        <item x="11"/>
        <item x="8"/>
        <item x="4"/>
        <item x="6"/>
        <item x="18"/>
        <item x="24"/>
        <item x="15"/>
        <item x="13"/>
        <item x="5"/>
        <item x="19"/>
        <item x="0"/>
        <item x="12"/>
        <item x="7"/>
        <item x="21"/>
        <item x="14"/>
        <item x="20"/>
        <item x="17"/>
        <item x="23"/>
        <item x="16"/>
        <item t="default"/>
      </items>
      <autoSortScope>
        <pivotArea dataOnly="0" outline="0" fieldPosition="0">
          <references count="1">
            <reference field="4294967294" count="1" selected="0">
              <x v="0"/>
            </reference>
          </references>
        </pivotArea>
      </autoSortScope>
    </pivotField>
    <pivotField showAll="0"/>
    <pivotField showAll="0">
      <items count="6">
        <item x="1"/>
        <item x="2"/>
        <item x="4"/>
        <item x="3"/>
        <item x="0"/>
        <item t="default"/>
      </items>
    </pivotField>
    <pivotField showAll="0">
      <items count="4">
        <item x="0"/>
        <item x="1"/>
        <item x="2"/>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9"/>
  </rowFields>
  <rowItems count="6">
    <i>
      <x v="6"/>
    </i>
    <i>
      <x v="22"/>
    </i>
    <i>
      <x v="14"/>
    </i>
    <i>
      <x v="19"/>
    </i>
    <i>
      <x v="3"/>
    </i>
    <i t="grand">
      <x/>
    </i>
  </rowItems>
  <colItems count="1">
    <i/>
  </colItems>
  <dataFields count="1">
    <dataField name="Sum of  Amount" fld="5" baseField="0" baseItem="0"/>
  </dataFields>
  <formats count="4">
    <format dxfId="796">
      <pivotArea outline="0" collapsedLevelsAreSubtotals="1" fieldPosition="0"/>
    </format>
    <format dxfId="797">
      <pivotArea dataOnly="0" labelOnly="1" outline="0" axis="axisValues" fieldPosition="0"/>
    </format>
    <format dxfId="798">
      <pivotArea collapsedLevelsAreSubtotals="1" fieldPosition="0">
        <references count="1">
          <reference field="9" count="5">
            <x v="3"/>
            <x v="6"/>
            <x v="14"/>
            <x v="19"/>
            <x v="22"/>
          </reference>
        </references>
      </pivotArea>
    </format>
    <format dxfId="799">
      <pivotArea grandRow="1" outline="0" collapsedLevelsAreSubtotals="1" fieldPosition="0"/>
    </format>
  </formats>
  <chartFormats count="5">
    <chartFormat chart="81" format="0" series="1">
      <pivotArea type="data" outline="0" fieldPosition="0">
        <references count="1">
          <reference field="4294967294" count="1" selected="0">
            <x v="0"/>
          </reference>
        </references>
      </pivotArea>
    </chartFormat>
    <chartFormat chart="82" format="1" series="1">
      <pivotArea type="data" outline="0" fieldPosition="0">
        <references count="1">
          <reference field="4294967294" count="1" selected="0">
            <x v="0"/>
          </reference>
        </references>
      </pivotArea>
    </chartFormat>
    <chartFormat chart="89" format="1"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1DF382-F8CB-486A-9E93-5E983162472A}"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3">
  <location ref="V3:W9" firstHeaderRow="1" firstDataRow="1" firstDataCol="1"/>
  <pivotFields count="16">
    <pivotField showAll="0"/>
    <pivotField showAll="0"/>
    <pivotField showAll="0">
      <items count="5">
        <item x="0"/>
        <item x="2"/>
        <item x="1"/>
        <item x="3"/>
        <item t="default"/>
      </items>
    </pivotField>
    <pivotField numFmtId="165" showAll="0"/>
    <pivotField showAll="0"/>
    <pivotField dataField="1" numFmtId="165"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axis="axisRow" showAll="0">
      <items count="6">
        <item x="1"/>
        <item x="2"/>
        <item x="4"/>
        <item x="3"/>
        <item x="0"/>
        <item t="default"/>
      </items>
    </pivotField>
    <pivotField showAll="0">
      <items count="4">
        <item x="0"/>
        <item x="1"/>
        <item x="2"/>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11"/>
  </rowFields>
  <rowItems count="6">
    <i>
      <x/>
    </i>
    <i>
      <x v="1"/>
    </i>
    <i>
      <x v="2"/>
    </i>
    <i>
      <x v="3"/>
    </i>
    <i>
      <x v="4"/>
    </i>
    <i t="grand">
      <x/>
    </i>
  </rowItems>
  <colItems count="1">
    <i/>
  </colItems>
  <dataFields count="1">
    <dataField name="Count of  Amount" fld="5" subtotal="count" baseField="11" baseItem="0"/>
  </dataFields>
  <formats count="3">
    <format dxfId="804">
      <pivotArea grandRow="1" outline="0" collapsedLevelsAreSubtotals="1" fieldPosition="0"/>
    </format>
    <format dxfId="805">
      <pivotArea outline="0" collapsedLevelsAreSubtotals="1" fieldPosition="0"/>
    </format>
    <format dxfId="806">
      <pivotArea dataOnly="0" labelOnly="1" outline="0" axis="axisValues" fieldPosition="0"/>
    </format>
  </formats>
  <chartFormats count="19">
    <chartFormat chart="59"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0" format="2">
      <pivotArea type="data" outline="0" fieldPosition="0">
        <references count="2">
          <reference field="4294967294" count="1" selected="0">
            <x v="0"/>
          </reference>
          <reference field="11" count="1" selected="0">
            <x v="0"/>
          </reference>
        </references>
      </pivotArea>
    </chartFormat>
    <chartFormat chart="60" format="3">
      <pivotArea type="data" outline="0" fieldPosition="0">
        <references count="2">
          <reference field="4294967294" count="1" selected="0">
            <x v="0"/>
          </reference>
          <reference field="11" count="1" selected="0">
            <x v="1"/>
          </reference>
        </references>
      </pivotArea>
    </chartFormat>
    <chartFormat chart="60" format="4">
      <pivotArea type="data" outline="0" fieldPosition="0">
        <references count="2">
          <reference field="4294967294" count="1" selected="0">
            <x v="0"/>
          </reference>
          <reference field="11" count="1" selected="0">
            <x v="2"/>
          </reference>
        </references>
      </pivotArea>
    </chartFormat>
    <chartFormat chart="60" format="5">
      <pivotArea type="data" outline="0" fieldPosition="0">
        <references count="2">
          <reference field="4294967294" count="1" selected="0">
            <x v="0"/>
          </reference>
          <reference field="11" count="1" selected="0">
            <x v="3"/>
          </reference>
        </references>
      </pivotArea>
    </chartFormat>
    <chartFormat chart="60" format="6">
      <pivotArea type="data" outline="0" fieldPosition="0">
        <references count="2">
          <reference field="4294967294" count="1" selected="0">
            <x v="0"/>
          </reference>
          <reference field="11" count="1" selected="0">
            <x v="4"/>
          </reference>
        </references>
      </pivotArea>
    </chartFormat>
    <chartFormat chart="61" format="7" series="1">
      <pivotArea type="data" outline="0" fieldPosition="0">
        <references count="1">
          <reference field="4294967294" count="1" selected="0">
            <x v="0"/>
          </reference>
        </references>
      </pivotArea>
    </chartFormat>
    <chartFormat chart="61" format="8">
      <pivotArea type="data" outline="0" fieldPosition="0">
        <references count="2">
          <reference field="4294967294" count="1" selected="0">
            <x v="0"/>
          </reference>
          <reference field="11" count="1" selected="0">
            <x v="0"/>
          </reference>
        </references>
      </pivotArea>
    </chartFormat>
    <chartFormat chart="61" format="9">
      <pivotArea type="data" outline="0" fieldPosition="0">
        <references count="2">
          <reference field="4294967294" count="1" selected="0">
            <x v="0"/>
          </reference>
          <reference field="11" count="1" selected="0">
            <x v="1"/>
          </reference>
        </references>
      </pivotArea>
    </chartFormat>
    <chartFormat chart="61" format="10">
      <pivotArea type="data" outline="0" fieldPosition="0">
        <references count="2">
          <reference field="4294967294" count="1" selected="0">
            <x v="0"/>
          </reference>
          <reference field="11" count="1" selected="0">
            <x v="2"/>
          </reference>
        </references>
      </pivotArea>
    </chartFormat>
    <chartFormat chart="61" format="11">
      <pivotArea type="data" outline="0" fieldPosition="0">
        <references count="2">
          <reference field="4294967294" count="1" selected="0">
            <x v="0"/>
          </reference>
          <reference field="11" count="1" selected="0">
            <x v="3"/>
          </reference>
        </references>
      </pivotArea>
    </chartFormat>
    <chartFormat chart="61" format="12">
      <pivotArea type="data" outline="0" fieldPosition="0">
        <references count="2">
          <reference field="4294967294" count="1" selected="0">
            <x v="0"/>
          </reference>
          <reference field="11" count="1" selected="0">
            <x v="4"/>
          </reference>
        </references>
      </pivotArea>
    </chartFormat>
    <chartFormat chart="62" format="7" series="1">
      <pivotArea type="data" outline="0" fieldPosition="0">
        <references count="1">
          <reference field="4294967294" count="1" selected="0">
            <x v="0"/>
          </reference>
        </references>
      </pivotArea>
    </chartFormat>
    <chartFormat chart="62" format="8">
      <pivotArea type="data" outline="0" fieldPosition="0">
        <references count="2">
          <reference field="4294967294" count="1" selected="0">
            <x v="0"/>
          </reference>
          <reference field="11" count="1" selected="0">
            <x v="0"/>
          </reference>
        </references>
      </pivotArea>
    </chartFormat>
    <chartFormat chart="62" format="9">
      <pivotArea type="data" outline="0" fieldPosition="0">
        <references count="2">
          <reference field="4294967294" count="1" selected="0">
            <x v="0"/>
          </reference>
          <reference field="11" count="1" selected="0">
            <x v="1"/>
          </reference>
        </references>
      </pivotArea>
    </chartFormat>
    <chartFormat chart="62" format="10">
      <pivotArea type="data" outline="0" fieldPosition="0">
        <references count="2">
          <reference field="4294967294" count="1" selected="0">
            <x v="0"/>
          </reference>
          <reference field="11" count="1" selected="0">
            <x v="2"/>
          </reference>
        </references>
      </pivotArea>
    </chartFormat>
    <chartFormat chart="62" format="11">
      <pivotArea type="data" outline="0" fieldPosition="0">
        <references count="2">
          <reference field="4294967294" count="1" selected="0">
            <x v="0"/>
          </reference>
          <reference field="11" count="1" selected="0">
            <x v="3"/>
          </reference>
        </references>
      </pivotArea>
    </chartFormat>
    <chartFormat chart="62"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0EC064-73CA-493C-8DEB-E83E69BE6B1A}"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1">
  <location ref="J12:K17" firstHeaderRow="1" firstDataRow="1" firstDataCol="1"/>
  <pivotFields count="16">
    <pivotField showAll="0"/>
    <pivotField showAll="0"/>
    <pivotField showAll="0">
      <items count="5">
        <item x="0"/>
        <item x="2"/>
        <item x="1"/>
        <item x="3"/>
        <item t="default"/>
      </items>
    </pivotField>
    <pivotField numFmtId="165" showAll="0"/>
    <pivotField showAll="0"/>
    <pivotField dataField="1" numFmtId="165" showAll="0"/>
    <pivotField numFmtId="164" showAll="0">
      <items count="15">
        <item x="0"/>
        <item x="1"/>
        <item x="2"/>
        <item x="3"/>
        <item x="4"/>
        <item x="5"/>
        <item x="6"/>
        <item x="7"/>
        <item x="8"/>
        <item x="9"/>
        <item x="10"/>
        <item x="11"/>
        <item x="12"/>
        <item x="13"/>
        <item t="default"/>
      </items>
    </pivotField>
    <pivotField numFmtId="164" showAll="0"/>
    <pivotField showAll="0">
      <items count="24">
        <item m="1" x="19"/>
        <item m="1" x="14"/>
        <item m="1" x="13"/>
        <item m="1" x="21"/>
        <item x="4"/>
        <item m="1" x="12"/>
        <item m="1" x="22"/>
        <item m="1" x="15"/>
        <item m="1" x="17"/>
        <item m="1" x="16"/>
        <item m="1" x="18"/>
        <item m="1" x="20"/>
        <item x="0"/>
        <item x="1"/>
        <item x="2"/>
        <item x="3"/>
        <item x="5"/>
        <item x="6"/>
        <item x="7"/>
        <item x="8"/>
        <item x="9"/>
        <item x="10"/>
        <item x="11"/>
        <item t="default"/>
      </items>
    </pivotField>
    <pivotField showAll="0"/>
    <pivotField showAll="0"/>
    <pivotField showAll="0">
      <items count="6">
        <item x="1"/>
        <item x="2"/>
        <item x="4"/>
        <item x="3"/>
        <item x="0"/>
        <item t="default"/>
      </items>
    </pivotField>
    <pivotField showAll="0">
      <items count="4">
        <item x="0"/>
        <item x="1"/>
        <item x="2"/>
        <item t="default"/>
      </items>
    </pivotField>
    <pivotField axis="axisRow"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13"/>
  </rowFields>
  <rowItems count="5">
    <i>
      <x v="1"/>
    </i>
    <i>
      <x v="2"/>
    </i>
    <i>
      <x v="3"/>
    </i>
    <i>
      <x v="4"/>
    </i>
    <i t="grand">
      <x/>
    </i>
  </rowItems>
  <colItems count="1">
    <i/>
  </colItems>
  <dataFields count="1">
    <dataField name="Count of  Amount" fld="5" subtotal="count" baseField="13" baseItem="1"/>
  </dataFields>
  <formats count="2">
    <format dxfId="794">
      <pivotArea grandRow="1" outline="0" collapsedLevelsAreSubtotals="1" fieldPosition="0"/>
    </format>
    <format dxfId="795">
      <pivotArea outline="0" collapsedLevelsAreSubtotals="1" fieldPosition="0"/>
    </format>
  </formats>
  <chartFormats count="3">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76B69F-68B3-435E-A8A7-D96FC9E0E45B}"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5">
  <location ref="P3:Q29" firstHeaderRow="1" firstDataRow="1" firstDataCol="1"/>
  <pivotFields count="16">
    <pivotField showAll="0"/>
    <pivotField showAll="0"/>
    <pivotField showAll="0">
      <items count="5">
        <item x="0"/>
        <item x="2"/>
        <item x="1"/>
        <item x="3"/>
        <item t="default"/>
      </items>
    </pivotField>
    <pivotField numFmtId="165" showAll="0"/>
    <pivotField showAll="0"/>
    <pivotField numFmtId="165" showAll="0"/>
    <pivotField numFmtId="164" showAll="0">
      <items count="15">
        <item x="0"/>
        <item x="1"/>
        <item x="2"/>
        <item x="3"/>
        <item x="4"/>
        <item x="5"/>
        <item x="6"/>
        <item x="7"/>
        <item x="8"/>
        <item x="9"/>
        <item x="10"/>
        <item x="11"/>
        <item x="12"/>
        <item x="13"/>
        <item t="default"/>
      </items>
    </pivotField>
    <pivotField numFmtId="164" showAll="0"/>
    <pivotField showAll="0"/>
    <pivotField axis="axisRow" showAll="0" sortType="descending">
      <items count="26">
        <item x="10"/>
        <item x="3"/>
        <item x="9"/>
        <item x="1"/>
        <item x="2"/>
        <item x="22"/>
        <item x="11"/>
        <item x="8"/>
        <item x="4"/>
        <item x="6"/>
        <item x="18"/>
        <item x="24"/>
        <item x="15"/>
        <item x="13"/>
        <item x="5"/>
        <item x="19"/>
        <item x="0"/>
        <item x="12"/>
        <item x="7"/>
        <item x="21"/>
        <item x="14"/>
        <item x="20"/>
        <item x="17"/>
        <item x="23"/>
        <item x="16"/>
        <item t="default"/>
      </items>
      <autoSortScope>
        <pivotArea dataOnly="0" outline="0" fieldPosition="0">
          <references count="1">
            <reference field="4294967294" count="1" selected="0">
              <x v="0"/>
            </reference>
          </references>
        </pivotArea>
      </autoSortScope>
    </pivotField>
    <pivotField showAll="0"/>
    <pivotField showAll="0">
      <items count="6">
        <item x="1"/>
        <item x="2"/>
        <item x="4"/>
        <item x="3"/>
        <item x="0"/>
        <item t="default"/>
      </items>
    </pivotField>
    <pivotField showAll="0">
      <items count="4">
        <item x="0"/>
        <item x="1"/>
        <item x="2"/>
        <item t="default"/>
      </items>
    </pivotField>
    <pivotField dataField="1"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9"/>
  </rowFields>
  <rowItems count="26">
    <i>
      <x v="3"/>
    </i>
    <i>
      <x v="1"/>
    </i>
    <i>
      <x v="7"/>
    </i>
    <i>
      <x v="18"/>
    </i>
    <i>
      <x v="14"/>
    </i>
    <i>
      <x v="16"/>
    </i>
    <i>
      <x v="6"/>
    </i>
    <i>
      <x v="12"/>
    </i>
    <i>
      <x v="8"/>
    </i>
    <i>
      <x v="17"/>
    </i>
    <i>
      <x/>
    </i>
    <i>
      <x v="11"/>
    </i>
    <i>
      <x v="24"/>
    </i>
    <i>
      <x v="22"/>
    </i>
    <i>
      <x v="13"/>
    </i>
    <i>
      <x v="10"/>
    </i>
    <i>
      <x v="2"/>
    </i>
    <i>
      <x v="5"/>
    </i>
    <i>
      <x v="21"/>
    </i>
    <i>
      <x v="4"/>
    </i>
    <i>
      <x v="23"/>
    </i>
    <i>
      <x v="20"/>
    </i>
    <i>
      <x v="15"/>
    </i>
    <i>
      <x v="19"/>
    </i>
    <i>
      <x v="9"/>
    </i>
    <i t="grand">
      <x/>
    </i>
  </rowItems>
  <colItems count="1">
    <i/>
  </colItems>
  <dataFields count="1">
    <dataField name="Count of customer_age" fld="13" subtotal="count" baseField="9" baseItem="1"/>
  </dataFields>
  <formats count="4">
    <format dxfId="800">
      <pivotArea grandRow="1" outline="0" collapsedLevelsAreSubtotals="1" fieldPosition="0"/>
    </format>
    <format dxfId="801">
      <pivotArea collapsedLevelsAreSubtotals="1" fieldPosition="0">
        <references count="1">
          <reference field="9" count="1">
            <x v="1"/>
          </reference>
        </references>
      </pivotArea>
    </format>
    <format dxfId="802">
      <pivotArea outline="0" collapsedLevelsAreSubtotals="1" fieldPosition="0"/>
    </format>
    <format dxfId="803">
      <pivotArea dataOnly="0" labelOnly="1" outline="0" axis="axisValues" fieldPosition="0"/>
    </format>
  </formats>
  <chartFormats count="1">
    <chartFormat chart="6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EDCADA-02F1-492D-8FAB-7386D73B236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3:I6" firstHeaderRow="1" firstDataRow="1" firstDataCol="1"/>
  <pivotFields count="16">
    <pivotField showAll="0"/>
    <pivotField dataField="1" showAll="0"/>
    <pivotField showAll="0">
      <items count="5">
        <item x="0"/>
        <item x="2"/>
        <item x="1"/>
        <item x="3"/>
        <item t="default"/>
      </items>
    </pivotField>
    <pivotField numFmtId="165" showAll="0"/>
    <pivotField showAll="0"/>
    <pivotField numFmtId="165"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6">
        <item x="1"/>
        <item x="2"/>
        <item x="4"/>
        <item x="3"/>
        <item x="0"/>
        <item t="default"/>
      </items>
    </pivotField>
    <pivotField showAll="0">
      <items count="4">
        <item x="0"/>
        <item x="1"/>
        <item x="2"/>
        <item t="default"/>
      </items>
    </pivotField>
    <pivotField showAll="0">
      <items count="7">
        <item x="0"/>
        <item x="1"/>
        <item x="2"/>
        <item x="3"/>
        <item x="4"/>
        <item x="5"/>
        <item t="default"/>
      </items>
    </pivotField>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1">
    <field x="15"/>
  </rowFields>
  <rowItems count="3">
    <i>
      <x v="1"/>
    </i>
    <i>
      <x v="2"/>
    </i>
    <i t="grand">
      <x/>
    </i>
  </rowItems>
  <colItems count="1">
    <i/>
  </colItems>
  <dataFields count="1">
    <dataField name="Count of produc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FA87BA-457C-403D-8449-7806FD60509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M3:N16" firstHeaderRow="1" firstDataRow="1" firstDataCol="1"/>
  <pivotFields count="16">
    <pivotField showAll="0"/>
    <pivotField showAll="0"/>
    <pivotField showAll="0">
      <items count="5">
        <item x="0"/>
        <item x="2"/>
        <item x="1"/>
        <item x="3"/>
        <item t="default"/>
      </items>
    </pivotField>
    <pivotField numFmtId="165" showAll="0"/>
    <pivotField showAll="0"/>
    <pivotField dataField="1" numFmtId="165" showAll="0"/>
    <pivotField numFmtId="164" showAll="0">
      <items count="15">
        <item x="0"/>
        <item x="1"/>
        <item x="2"/>
        <item x="3"/>
        <item x="4"/>
        <item x="5"/>
        <item x="6"/>
        <item x="7"/>
        <item x="8"/>
        <item x="9"/>
        <item x="10"/>
        <item x="11"/>
        <item x="12"/>
        <item x="13"/>
        <item t="default"/>
      </items>
    </pivotField>
    <pivotField numFmtId="164" showAll="0"/>
    <pivotField axis="axisRow" showAll="0">
      <items count="24">
        <item m="1" x="19"/>
        <item m="1" x="14"/>
        <item m="1" x="13"/>
        <item m="1" x="21"/>
        <item x="4"/>
        <item m="1" x="12"/>
        <item m="1" x="22"/>
        <item m="1" x="15"/>
        <item m="1" x="17"/>
        <item m="1" x="16"/>
        <item m="1" x="18"/>
        <item m="1" x="20"/>
        <item x="0"/>
        <item x="1"/>
        <item x="2"/>
        <item x="3"/>
        <item x="5"/>
        <item x="6"/>
        <item x="7"/>
        <item x="8"/>
        <item x="9"/>
        <item x="10"/>
        <item x="11"/>
        <item t="default"/>
      </items>
    </pivotField>
    <pivotField showAll="0"/>
    <pivotField showAll="0"/>
    <pivotField showAll="0">
      <items count="6">
        <item x="1"/>
        <item x="2"/>
        <item x="4"/>
        <item x="3"/>
        <item x="0"/>
        <item t="default"/>
      </items>
    </pivotField>
    <pivotField showAll="0">
      <items count="4">
        <item x="0"/>
        <item x="1"/>
        <item x="2"/>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8"/>
  </rowFields>
  <rowItems count="13">
    <i>
      <x v="4"/>
    </i>
    <i>
      <x v="12"/>
    </i>
    <i>
      <x v="13"/>
    </i>
    <i>
      <x v="14"/>
    </i>
    <i>
      <x v="15"/>
    </i>
    <i>
      <x v="16"/>
    </i>
    <i>
      <x v="17"/>
    </i>
    <i>
      <x v="18"/>
    </i>
    <i>
      <x v="19"/>
    </i>
    <i>
      <x v="20"/>
    </i>
    <i>
      <x v="21"/>
    </i>
    <i>
      <x v="22"/>
    </i>
    <i t="grand">
      <x/>
    </i>
  </rowItems>
  <colItems count="1">
    <i/>
  </colItems>
  <dataFields count="1">
    <dataField name="Sum of  Amount" fld="5" baseField="0" baseItem="0"/>
  </dataFields>
  <formats count="3">
    <format dxfId="807">
      <pivotArea outline="0" collapsedLevelsAreSubtotals="1" fieldPosition="0"/>
    </format>
    <format dxfId="808">
      <pivotArea collapsedLevelsAreSubtotals="1" fieldPosition="0">
        <references count="1">
          <reference field="8" count="0"/>
        </references>
      </pivotArea>
    </format>
    <format dxfId="809">
      <pivotArea grandRow="1" outline="0" collapsedLevelsAreSubtotals="1" fieldPosition="0"/>
    </format>
  </formats>
  <chartFormats count="3">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404635-4BCF-48BE-9436-4BA5684AA22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E4" firstHeaderRow="0" firstDataRow="1" firstDataCol="0"/>
  <pivotFields count="16">
    <pivotField dataField="1" showAll="0"/>
    <pivotField showAll="0"/>
    <pivotField showAll="0">
      <items count="5">
        <item x="0"/>
        <item x="2"/>
        <item x="1"/>
        <item x="3"/>
        <item t="default"/>
      </items>
    </pivotField>
    <pivotField numFmtId="165" showAll="0"/>
    <pivotField showAll="0"/>
    <pivotField dataField="1" numFmtId="165"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6">
        <item x="1"/>
        <item x="2"/>
        <item x="4"/>
        <item x="3"/>
        <item x="0"/>
        <item t="default"/>
      </items>
    </pivotField>
    <pivotField showAll="0">
      <items count="4">
        <item x="0"/>
        <item x="1"/>
        <item x="2"/>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Items count="1">
    <i/>
  </rowItems>
  <colFields count="1">
    <field x="-2"/>
  </colFields>
  <colItems count="4">
    <i>
      <x/>
    </i>
    <i i="1">
      <x v="1"/>
    </i>
    <i i="2">
      <x v="2"/>
    </i>
    <i i="3">
      <x v="3"/>
    </i>
  </colItems>
  <dataFields count="4">
    <dataField name="Count of order_id" fld="0" subtotal="count" baseField="0" baseItem="0"/>
    <dataField name="Sum of  Amount3" fld="5" baseField="0" baseItem="0"/>
    <dataField name="Max of  Amount" fld="5" subtotal="max" baseField="0" baseItem="1"/>
    <dataField name="Min of  Amount2" fld="5" subtotal="min"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9060AB-A324-4319-A532-791A245E5299}"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J3:K8" firstHeaderRow="1" firstDataRow="1" firstDataCol="1"/>
  <pivotFields count="16">
    <pivotField showAll="0"/>
    <pivotField showAll="0"/>
    <pivotField axis="axisRow" showAll="0">
      <items count="5">
        <item x="0"/>
        <item x="2"/>
        <item x="1"/>
        <item x="3"/>
        <item t="default"/>
      </items>
    </pivotField>
    <pivotField numFmtId="165" showAll="0"/>
    <pivotField showAll="0"/>
    <pivotField dataField="1" numFmtId="165"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showAll="0"/>
    <pivotField showAll="0">
      <items count="6">
        <item x="1"/>
        <item x="2"/>
        <item x="4"/>
        <item x="3"/>
        <item x="0"/>
        <item t="default"/>
      </items>
    </pivotField>
    <pivotField showAll="0">
      <items count="4">
        <item x="0"/>
        <item x="1"/>
        <item x="2"/>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2"/>
  </rowFields>
  <rowItems count="5">
    <i>
      <x/>
    </i>
    <i>
      <x v="1"/>
    </i>
    <i>
      <x v="2"/>
    </i>
    <i>
      <x v="3"/>
    </i>
    <i t="grand">
      <x/>
    </i>
  </rowItems>
  <colItems count="1">
    <i/>
  </colItems>
  <dataFields count="1">
    <dataField name="Sum of  Amount" fld="5" baseField="0" baseItem="0" numFmtId="168"/>
  </dataFields>
  <formats count="3">
    <format dxfId="810">
      <pivotArea outline="0" collapsedLevelsAreSubtotals="1" fieldPosition="0"/>
    </format>
    <format dxfId="811">
      <pivotArea collapsedLevelsAreSubtotals="1" fieldPosition="0">
        <references count="1">
          <reference field="2" count="0"/>
        </references>
      </pivotArea>
    </format>
    <format dxfId="812">
      <pivotArea grandRow="1" outline="0" collapsedLevelsAreSubtotals="1" fieldPosition="0"/>
    </format>
  </formats>
  <chartFormats count="6">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6098FC-1E25-4624-A558-D4041208EDE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1">
  <location ref="S3:T9" firstHeaderRow="1" firstDataRow="1" firstDataCol="1"/>
  <pivotFields count="16">
    <pivotField showAll="0"/>
    <pivotField showAll="0"/>
    <pivotField showAll="0">
      <items count="5">
        <item x="0"/>
        <item x="2"/>
        <item x="1"/>
        <item x="3"/>
        <item t="default"/>
      </items>
    </pivotField>
    <pivotField numFmtId="165" showAll="0"/>
    <pivotField showAll="0"/>
    <pivotField numFmtId="165" showAll="0"/>
    <pivotField numFmtId="164" showAll="0">
      <items count="15">
        <item x="0"/>
        <item x="1"/>
        <item x="2"/>
        <item x="3"/>
        <item x="4"/>
        <item x="5"/>
        <item x="6"/>
        <item x="7"/>
        <item x="8"/>
        <item x="9"/>
        <item x="10"/>
        <item x="11"/>
        <item x="12"/>
        <item x="13"/>
        <item t="default"/>
      </items>
    </pivotField>
    <pivotField numFmtId="164" showAll="0"/>
    <pivotField showAll="0"/>
    <pivotField showAll="0"/>
    <pivotField axis="axisRow" showAll="0">
      <items count="6">
        <item x="2"/>
        <item x="3"/>
        <item x="0"/>
        <item x="1"/>
        <item x="4"/>
        <item t="default"/>
      </items>
    </pivotField>
    <pivotField showAll="0">
      <items count="6">
        <item x="1"/>
        <item x="2"/>
        <item x="4"/>
        <item x="3"/>
        <item x="0"/>
        <item t="default"/>
      </items>
    </pivotField>
    <pivotField showAll="0">
      <items count="4">
        <item x="0"/>
        <item x="1"/>
        <item x="2"/>
        <item t="default"/>
      </items>
    </pivotField>
    <pivotField dataField="1" showAll="0">
      <items count="7">
        <item x="0"/>
        <item x="1"/>
        <item x="2"/>
        <item x="3"/>
        <item x="4"/>
        <item x="5"/>
        <item t="default"/>
      </items>
    </pivotField>
    <pivotField showAll="0">
      <items count="7">
        <item x="0"/>
        <item x="1"/>
        <item x="2"/>
        <item x="3"/>
        <item x="4"/>
        <item x="5"/>
        <item t="default"/>
      </items>
    </pivotField>
    <pivotField showAll="0">
      <items count="5">
        <item h="1" x="0"/>
        <item x="1"/>
        <item x="2"/>
        <item h="1" x="3"/>
        <item t="default"/>
      </items>
    </pivotField>
  </pivotFields>
  <rowFields count="1">
    <field x="10"/>
  </rowFields>
  <rowItems count="6">
    <i>
      <x/>
    </i>
    <i>
      <x v="1"/>
    </i>
    <i>
      <x v="2"/>
    </i>
    <i>
      <x v="3"/>
    </i>
    <i>
      <x v="4"/>
    </i>
    <i t="grand">
      <x/>
    </i>
  </rowItems>
  <colItems count="1">
    <i/>
  </colItems>
  <dataFields count="1">
    <dataField name="Count of customer_age" fld="13" subtotal="count" baseField="9" baseItem="1"/>
  </dataFields>
  <formats count="3">
    <format dxfId="813">
      <pivotArea grandRow="1" outline="0" collapsedLevelsAreSubtotals="1" fieldPosition="0"/>
    </format>
    <format dxfId="814">
      <pivotArea outline="0" collapsedLevelsAreSubtotals="1" fieldPosition="0"/>
    </format>
    <format dxfId="815">
      <pivotArea dataOnly="0" labelOnly="1" outline="0" axis="axisValues" fieldPosition="0"/>
    </format>
  </formats>
  <chartFormats count="4">
    <chartFormat chart="47"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22D7B1-9801-4A47-90E7-FF2A2A9B8F3E}" autoFormatId="16" applyNumberFormats="0" applyBorderFormats="0" applyFontFormats="0" applyPatternFormats="0" applyAlignmentFormats="0" applyWidthHeightFormats="0">
  <queryTableRefresh nextId="15">
    <queryTableFields count="14">
      <queryTableField id="1" name="order_id" tableColumnId="1"/>
      <queryTableField id="2" name="product_name" tableColumnId="2"/>
      <queryTableField id="3" name="category" tableColumnId="3"/>
      <queryTableField id="4" name="price" tableColumnId="4"/>
      <queryTableField id="5" name="qty" tableColumnId="5"/>
      <queryTableField id="13" dataBound="0" tableColumnId="13"/>
      <queryTableField id="6" name="order_date" tableColumnId="6"/>
      <queryTableField id="7" name="Delivery_date" tableColumnId="7"/>
      <queryTableField id="14" dataBound="0" tableColumnId="14"/>
      <queryTableField id="8" name="city" tableColumnId="8"/>
      <queryTableField id="9" name="state" tableColumnId="9"/>
      <queryTableField id="10" name="payment_method" tableColumnId="10"/>
      <queryTableField id="11" name="gender" tableColumnId="11"/>
      <queryTableField id="12" name="customer_ag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5F7D6D7-7B57-497F-9645-0FCF0A917096}" sourceName="category">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60959628">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81742075-8196-4D8D-A359-CE95852DA9CF}" sourceName="payment_method">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60959628">
      <items count="5">
        <i x="1" s="1"/>
        <i x="2"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771BAF5-EAA6-41F0-B182-76BF685DCA43}" sourceName="gender">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6095962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24EFA98-32D1-442C-8354-85B144B9B5A1}" sourceName="Years">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960959628">
      <items count="4">
        <i x="1" s="1"/>
        <i x="2" s="1"/>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07D4EF3-125D-472A-8F4C-8F269F7F2135}" cache="Slicer_category" caption="category" showCaption="0" style="new" rowHeight="457200"/>
  <slicer name="payment_method" xr10:uid="{F89C5431-EFF0-471D-971A-03B3A5607853}" cache="Slicer_payment_method" caption="payment_method" showCaption="0" style="new" rowHeight="457200"/>
  <slicer name="gender" xr10:uid="{F225CC68-D23D-4AA4-9A8C-15FA3C89874B}" cache="Slicer_gender" caption="gender" columnCount="3" showCaption="0" style="new" rowHeight="457200"/>
  <slicer name="Years" xr10:uid="{F91BC579-BE94-47E3-ACA9-EF6F76AC1224}" cache="Slicer_Years" caption="Years" columnCount="2" showCaption="0" style="new"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C2ABCC-3E2D-4600-A12B-03F777C9D71E}" name="ecommerce_store_dataset" displayName="ecommerce_store_dataset" ref="A1:N201" tableType="queryTable" totalsRowShown="0">
  <autoFilter ref="A1:N201" xr:uid="{41400F21-9F5B-444B-9C90-B24FCF9B88CB}"/>
  <tableColumns count="14">
    <tableColumn id="1" xr3:uid="{4158B185-1485-4493-B39B-02E1D78F78E2}" uniqueName="1" name="order_id" queryTableFieldId="1"/>
    <tableColumn id="2" xr3:uid="{94DF2468-6389-4C9D-8E71-9C9EAF65A54A}" uniqueName="2" name="product_name" queryTableFieldId="2"/>
    <tableColumn id="3" xr3:uid="{2FC4F5A9-A3A7-4D3E-B142-6AD018665AA3}" uniqueName="3" name="category" queryTableFieldId="3"/>
    <tableColumn id="4" xr3:uid="{FE32D6FF-91EA-4EC3-B782-CF8933449679}" uniqueName="4" name="price" queryTableFieldId="4" dataDxfId="1159"/>
    <tableColumn id="5" xr3:uid="{5940DE25-3C99-4DB0-BA1C-CABA75E1E550}" uniqueName="5" name="qty" queryTableFieldId="5"/>
    <tableColumn id="13" xr3:uid="{16B9E454-2EEC-4A10-860F-0B7862FB0FBE}" uniqueName="13" name=" Amount" queryTableFieldId="13" dataDxfId="1158">
      <calculatedColumnFormula>ecommerce_store_dataset[[#This Row],[price]]*ecommerce_store_dataset[[#This Row],[qty]]</calculatedColumnFormula>
    </tableColumn>
    <tableColumn id="6" xr3:uid="{E27E0975-1438-4EA9-800E-F032F0A0A535}" uniqueName="6" name="order_date" queryTableFieldId="6" dataDxfId="1157"/>
    <tableColumn id="7" xr3:uid="{F6905510-B432-44DB-9AA2-120B2992FA94}" uniqueName="7" name="Delivery_date" queryTableFieldId="7" dataDxfId="1156"/>
    <tableColumn id="14" xr3:uid="{834936BB-FDA5-42E3-B211-1E8ADDB5FBA3}" uniqueName="14" name="Month" queryTableFieldId="14" dataDxfId="1155">
      <calculatedColumnFormula>TEXT(ecommerce_store_dataset[[#This Row],[Delivery_date]],"mmm")</calculatedColumnFormula>
    </tableColumn>
    <tableColumn id="8" xr3:uid="{C648F6F6-9DFC-41F3-8313-6AFF1EA0F17B}" uniqueName="8" name="city" queryTableFieldId="8"/>
    <tableColumn id="9" xr3:uid="{4ECF96B2-2048-449F-B4B5-F054D6D4DCCB}" uniqueName="9" name="state" queryTableFieldId="9"/>
    <tableColumn id="10" xr3:uid="{B9DB95EA-3062-4A71-AAC3-B9C223F4D8BA}" uniqueName="10" name="payment_method" queryTableFieldId="10"/>
    <tableColumn id="11" xr3:uid="{1A233C06-FA14-4ACA-BDC0-EA68F2A8F646}" uniqueName="11" name="gender" queryTableFieldId="11"/>
    <tableColumn id="12" xr3:uid="{F401752D-03E5-4DEF-A0B6-790F15EAB44C}" uniqueName="12" name="customer_age" queryTableFieldId="12"/>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0BCC-5924-4F91-BFD1-356757EA6427}">
  <dimension ref="A1:A31"/>
  <sheetViews>
    <sheetView topLeftCell="A14" workbookViewId="0">
      <selection activeCell="E9" sqref="E9"/>
    </sheetView>
  </sheetViews>
  <sheetFormatPr defaultRowHeight="15" x14ac:dyDescent="0.25"/>
  <cols>
    <col min="1" max="1" width="16.28515625" bestFit="1" customWidth="1"/>
  </cols>
  <sheetData>
    <row r="1" spans="1:1" x14ac:dyDescent="0.25">
      <c r="A1" s="14" t="s">
        <v>316</v>
      </c>
    </row>
    <row r="2" spans="1:1" x14ac:dyDescent="0.25">
      <c r="A2" t="s">
        <v>13</v>
      </c>
    </row>
    <row r="3" spans="1:1" x14ac:dyDescent="0.25">
      <c r="A3" t="s">
        <v>20</v>
      </c>
    </row>
    <row r="4" spans="1:1" x14ac:dyDescent="0.25">
      <c r="A4" t="s">
        <v>26</v>
      </c>
    </row>
    <row r="5" spans="1:1" x14ac:dyDescent="0.25">
      <c r="A5" t="s">
        <v>35</v>
      </c>
    </row>
    <row r="6" spans="1:1" x14ac:dyDescent="0.25">
      <c r="A6" t="s">
        <v>39</v>
      </c>
    </row>
    <row r="7" spans="1:1" x14ac:dyDescent="0.25">
      <c r="A7" t="s">
        <v>43</v>
      </c>
    </row>
    <row r="8" spans="1:1" x14ac:dyDescent="0.25">
      <c r="A8" t="s">
        <v>48</v>
      </c>
    </row>
    <row r="9" spans="1:1" x14ac:dyDescent="0.25">
      <c r="A9" t="s">
        <v>52</v>
      </c>
    </row>
    <row r="10" spans="1:1" x14ac:dyDescent="0.25">
      <c r="A10" t="s">
        <v>57</v>
      </c>
    </row>
    <row r="11" spans="1:1" x14ac:dyDescent="0.25">
      <c r="A11" t="s">
        <v>62</v>
      </c>
    </row>
    <row r="12" spans="1:1" x14ac:dyDescent="0.25">
      <c r="A12" t="s">
        <v>64</v>
      </c>
    </row>
    <row r="13" spans="1:1" x14ac:dyDescent="0.25">
      <c r="A13" t="s">
        <v>67</v>
      </c>
    </row>
    <row r="14" spans="1:1" x14ac:dyDescent="0.25">
      <c r="A14" t="s">
        <v>73</v>
      </c>
    </row>
    <row r="15" spans="1:1" x14ac:dyDescent="0.25">
      <c r="A15" t="s">
        <v>76</v>
      </c>
    </row>
    <row r="16" spans="1:1" x14ac:dyDescent="0.25">
      <c r="A16" t="s">
        <v>81</v>
      </c>
    </row>
    <row r="17" spans="1:1" x14ac:dyDescent="0.25">
      <c r="A17" t="s">
        <v>84</v>
      </c>
    </row>
    <row r="18" spans="1:1" x14ac:dyDescent="0.25">
      <c r="A18" t="s">
        <v>86</v>
      </c>
    </row>
    <row r="19" spans="1:1" x14ac:dyDescent="0.25">
      <c r="A19" t="s">
        <v>89</v>
      </c>
    </row>
    <row r="20" spans="1:1" x14ac:dyDescent="0.25">
      <c r="A20" t="s">
        <v>95</v>
      </c>
    </row>
    <row r="21" spans="1:1" x14ac:dyDescent="0.25">
      <c r="A21" t="s">
        <v>111</v>
      </c>
    </row>
    <row r="22" spans="1:1" x14ac:dyDescent="0.25">
      <c r="A22" t="s">
        <v>114</v>
      </c>
    </row>
    <row r="23" spans="1:1" x14ac:dyDescent="0.25">
      <c r="A23" t="s">
        <v>119</v>
      </c>
    </row>
    <row r="24" spans="1:1" x14ac:dyDescent="0.25">
      <c r="A24" t="s">
        <v>126</v>
      </c>
    </row>
    <row r="25" spans="1:1" x14ac:dyDescent="0.25">
      <c r="A25" t="s">
        <v>129</v>
      </c>
    </row>
    <row r="26" spans="1:1" x14ac:dyDescent="0.25">
      <c r="A26" t="s">
        <v>133</v>
      </c>
    </row>
    <row r="27" spans="1:1" x14ac:dyDescent="0.25">
      <c r="A27" t="s">
        <v>136</v>
      </c>
    </row>
    <row r="28" spans="1:1" x14ac:dyDescent="0.25">
      <c r="A28" t="s">
        <v>139</v>
      </c>
    </row>
    <row r="29" spans="1:1" x14ac:dyDescent="0.25">
      <c r="A29" t="s">
        <v>142</v>
      </c>
    </row>
    <row r="30" spans="1:1" x14ac:dyDescent="0.25">
      <c r="A30" t="s">
        <v>150</v>
      </c>
    </row>
    <row r="31" spans="1:1" x14ac:dyDescent="0.25">
      <c r="A31"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F89F-64FB-4FB5-BB77-DDE9E8C9DAFE}">
  <dimension ref="A1:P201"/>
  <sheetViews>
    <sheetView zoomScale="90" zoomScaleNormal="90" workbookViewId="0">
      <selection activeCell="B1" sqref="B1:B1048576"/>
    </sheetView>
  </sheetViews>
  <sheetFormatPr defaultRowHeight="15" x14ac:dyDescent="0.25"/>
  <cols>
    <col min="1" max="1" width="11.140625" bestFit="1" customWidth="1"/>
    <col min="2" max="2" width="16.28515625" bestFit="1" customWidth="1"/>
    <col min="3" max="3" width="16.5703125" bestFit="1" customWidth="1"/>
    <col min="4" max="4" width="11.42578125" style="2" bestFit="1" customWidth="1"/>
    <col min="5" max="5" width="6.42578125" bestFit="1" customWidth="1"/>
    <col min="6" max="6" width="11.42578125" style="2" bestFit="1" customWidth="1"/>
    <col min="7" max="7" width="13.42578125" style="1" bestFit="1" customWidth="1"/>
    <col min="8" max="8" width="15.85546875" style="1" bestFit="1" customWidth="1"/>
    <col min="9" max="9" width="9.5703125" style="1" bestFit="1" customWidth="1"/>
    <col min="10" max="10" width="20" bestFit="1" customWidth="1"/>
    <col min="11" max="11" width="12.7109375" bestFit="1" customWidth="1"/>
    <col min="12" max="12" width="19.5703125" bestFit="1" customWidth="1"/>
    <col min="13" max="13" width="11" bestFit="1" customWidth="1"/>
    <col min="14" max="14" width="15.85546875" bestFit="1" customWidth="1"/>
  </cols>
  <sheetData>
    <row r="1" spans="1:16" x14ac:dyDescent="0.25">
      <c r="A1" t="s">
        <v>0</v>
      </c>
      <c r="B1" t="s">
        <v>1</v>
      </c>
      <c r="C1" t="s">
        <v>2</v>
      </c>
      <c r="D1" s="2" t="s">
        <v>3</v>
      </c>
      <c r="E1" t="s">
        <v>4</v>
      </c>
      <c r="F1" s="2" t="s">
        <v>284</v>
      </c>
      <c r="G1" s="1" t="s">
        <v>5</v>
      </c>
      <c r="H1" s="1" t="s">
        <v>6</v>
      </c>
      <c r="I1" s="1" t="s">
        <v>298</v>
      </c>
      <c r="J1" t="s">
        <v>7</v>
      </c>
      <c r="K1" t="s">
        <v>8</v>
      </c>
      <c r="L1" t="s">
        <v>9</v>
      </c>
      <c r="M1" t="s">
        <v>10</v>
      </c>
      <c r="N1" t="s">
        <v>11</v>
      </c>
    </row>
    <row r="2" spans="1:16" x14ac:dyDescent="0.25">
      <c r="A2" t="s">
        <v>12</v>
      </c>
      <c r="B2" t="s">
        <v>13</v>
      </c>
      <c r="C2" t="s">
        <v>14</v>
      </c>
      <c r="D2" s="2">
        <v>1918.49</v>
      </c>
      <c r="E2">
        <v>2</v>
      </c>
      <c r="F2" s="2">
        <f>ecommerce_store_dataset[[#This Row],[price]]*ecommerce_store_dataset[[#This Row],[qty]]</f>
        <v>3836.98</v>
      </c>
      <c r="G2" s="1">
        <v>45772</v>
      </c>
      <c r="H2" s="1">
        <v>45775</v>
      </c>
      <c r="I2" s="1" t="str">
        <f>TEXT(ecommerce_store_dataset[[#This Row],[Delivery_date]],"mmm")</f>
        <v>Apr</v>
      </c>
      <c r="J2" t="s">
        <v>15</v>
      </c>
      <c r="K2" t="s">
        <v>16</v>
      </c>
      <c r="L2" t="s">
        <v>17</v>
      </c>
      <c r="M2" t="s">
        <v>18</v>
      </c>
      <c r="N2">
        <v>20</v>
      </c>
    </row>
    <row r="3" spans="1:16" x14ac:dyDescent="0.25">
      <c r="A3" t="s">
        <v>19</v>
      </c>
      <c r="B3" t="s">
        <v>20</v>
      </c>
      <c r="C3" t="s">
        <v>14</v>
      </c>
      <c r="D3" s="2">
        <v>741.94</v>
      </c>
      <c r="E3">
        <v>5</v>
      </c>
      <c r="F3" s="2">
        <f>ecommerce_store_dataset[[#This Row],[price]]*ecommerce_store_dataset[[#This Row],[qty]]</f>
        <v>3709.7000000000003</v>
      </c>
      <c r="G3" s="1">
        <v>45966</v>
      </c>
      <c r="H3" s="1">
        <v>45968</v>
      </c>
      <c r="I3" s="1" t="str">
        <f>TEXT(ecommerce_store_dataset[[#This Row],[Delivery_date]],"mmm")</f>
        <v>Nov</v>
      </c>
      <c r="J3" t="s">
        <v>21</v>
      </c>
      <c r="K3" t="s">
        <v>22</v>
      </c>
      <c r="L3" t="s">
        <v>23</v>
      </c>
      <c r="M3" t="s">
        <v>24</v>
      </c>
      <c r="N3">
        <v>46</v>
      </c>
    </row>
    <row r="4" spans="1:16" x14ac:dyDescent="0.25">
      <c r="A4" t="s">
        <v>25</v>
      </c>
      <c r="B4" t="s">
        <v>26</v>
      </c>
      <c r="C4" t="s">
        <v>27</v>
      </c>
      <c r="D4" s="2">
        <v>13235.55</v>
      </c>
      <c r="E4">
        <v>2</v>
      </c>
      <c r="F4" s="2">
        <f>ecommerce_store_dataset[[#This Row],[price]]*ecommerce_store_dataset[[#This Row],[qty]]</f>
        <v>26471.1</v>
      </c>
      <c r="G4" s="1">
        <v>46015</v>
      </c>
      <c r="H4" s="1">
        <v>46020</v>
      </c>
      <c r="I4" s="1" t="str">
        <f>TEXT(ecommerce_store_dataset[[#This Row],[Delivery_date]],"mmm")</f>
        <v>Dec</v>
      </c>
      <c r="J4" t="s">
        <v>28</v>
      </c>
      <c r="K4" t="s">
        <v>29</v>
      </c>
      <c r="L4" t="s">
        <v>30</v>
      </c>
      <c r="M4" t="s">
        <v>24</v>
      </c>
      <c r="N4">
        <v>39</v>
      </c>
    </row>
    <row r="5" spans="1:16" x14ac:dyDescent="0.25">
      <c r="A5" t="s">
        <v>31</v>
      </c>
      <c r="B5" t="s">
        <v>20</v>
      </c>
      <c r="C5" t="s">
        <v>14</v>
      </c>
      <c r="D5" s="2">
        <v>1104.8399999999999</v>
      </c>
      <c r="E5">
        <v>3</v>
      </c>
      <c r="F5" s="2">
        <f>ecommerce_store_dataset[[#This Row],[price]]*ecommerce_store_dataset[[#This Row],[qty]]</f>
        <v>3314.5199999999995</v>
      </c>
      <c r="G5" s="1">
        <v>45834</v>
      </c>
      <c r="H5" s="1">
        <v>45840</v>
      </c>
      <c r="I5" s="1" t="str">
        <f>TEXT(ecommerce_store_dataset[[#This Row],[Delivery_date]],"mmm")</f>
        <v>Jul</v>
      </c>
      <c r="J5" t="s">
        <v>32</v>
      </c>
      <c r="K5" t="s">
        <v>29</v>
      </c>
      <c r="L5" t="s">
        <v>33</v>
      </c>
      <c r="M5" t="s">
        <v>18</v>
      </c>
      <c r="N5">
        <v>42</v>
      </c>
    </row>
    <row r="6" spans="1:16" x14ac:dyDescent="0.25">
      <c r="A6" t="s">
        <v>34</v>
      </c>
      <c r="B6" t="s">
        <v>35</v>
      </c>
      <c r="C6" t="s">
        <v>14</v>
      </c>
      <c r="D6" s="2">
        <v>2116.16</v>
      </c>
      <c r="E6">
        <v>5</v>
      </c>
      <c r="F6" s="2">
        <f>ecommerce_store_dataset[[#This Row],[price]]*ecommerce_store_dataset[[#This Row],[qty]]</f>
        <v>10580.8</v>
      </c>
      <c r="G6" s="1">
        <v>45843</v>
      </c>
      <c r="H6" s="1">
        <v>45849</v>
      </c>
      <c r="I6" s="1" t="str">
        <f>TEXT(ecommerce_store_dataset[[#This Row],[Delivery_date]],"mmm")</f>
        <v>Jul</v>
      </c>
      <c r="J6" t="s">
        <v>36</v>
      </c>
      <c r="K6" t="s">
        <v>37</v>
      </c>
      <c r="L6" t="s">
        <v>17</v>
      </c>
      <c r="M6" t="s">
        <v>18</v>
      </c>
      <c r="N6">
        <v>36</v>
      </c>
    </row>
    <row r="7" spans="1:16" x14ac:dyDescent="0.25">
      <c r="A7" t="s">
        <v>38</v>
      </c>
      <c r="B7" t="s">
        <v>39</v>
      </c>
      <c r="C7" t="s">
        <v>14</v>
      </c>
      <c r="D7" s="2">
        <v>2199.59</v>
      </c>
      <c r="E7">
        <v>4</v>
      </c>
      <c r="F7" s="2">
        <f>ecommerce_store_dataset[[#This Row],[price]]*ecommerce_store_dataset[[#This Row],[qty]]</f>
        <v>8798.36</v>
      </c>
      <c r="G7" s="1">
        <v>45800</v>
      </c>
      <c r="H7" s="1">
        <v>45805</v>
      </c>
      <c r="I7" s="1" t="str">
        <f>TEXT(ecommerce_store_dataset[[#This Row],[Delivery_date]],"mmm")</f>
        <v>May</v>
      </c>
      <c r="J7" t="s">
        <v>40</v>
      </c>
      <c r="K7" t="s">
        <v>29</v>
      </c>
      <c r="L7" t="s">
        <v>41</v>
      </c>
      <c r="M7" t="s">
        <v>24</v>
      </c>
      <c r="N7">
        <v>60</v>
      </c>
    </row>
    <row r="8" spans="1:16" x14ac:dyDescent="0.25">
      <c r="A8" t="s">
        <v>42</v>
      </c>
      <c r="B8" t="s">
        <v>43</v>
      </c>
      <c r="C8" t="s">
        <v>27</v>
      </c>
      <c r="D8" s="2">
        <v>14144.84</v>
      </c>
      <c r="E8">
        <v>1</v>
      </c>
      <c r="F8" s="2">
        <f>ecommerce_store_dataset[[#This Row],[price]]*ecommerce_store_dataset[[#This Row],[qty]]</f>
        <v>14144.84</v>
      </c>
      <c r="G8" s="1">
        <v>45969</v>
      </c>
      <c r="H8" s="1">
        <v>45976</v>
      </c>
      <c r="I8" s="1" t="str">
        <f>TEXT(ecommerce_store_dataset[[#This Row],[Delivery_date]],"mmm")</f>
        <v>Nov</v>
      </c>
      <c r="J8" t="s">
        <v>44</v>
      </c>
      <c r="K8" t="s">
        <v>37</v>
      </c>
      <c r="L8" t="s">
        <v>30</v>
      </c>
      <c r="M8" t="s">
        <v>24</v>
      </c>
      <c r="N8">
        <v>42</v>
      </c>
    </row>
    <row r="9" spans="1:16" x14ac:dyDescent="0.25">
      <c r="A9" t="s">
        <v>45</v>
      </c>
      <c r="B9" t="s">
        <v>43</v>
      </c>
      <c r="C9" t="s">
        <v>27</v>
      </c>
      <c r="D9" s="2">
        <v>10790.19</v>
      </c>
      <c r="E9">
        <v>2</v>
      </c>
      <c r="F9" s="2">
        <f>ecommerce_store_dataset[[#This Row],[price]]*ecommerce_store_dataset[[#This Row],[qty]]</f>
        <v>21580.38</v>
      </c>
      <c r="G9" s="1">
        <v>46008</v>
      </c>
      <c r="H9" s="1">
        <v>46012</v>
      </c>
      <c r="I9" s="1" t="str">
        <f>TEXT(ecommerce_store_dataset[[#This Row],[Delivery_date]],"mmm")</f>
        <v>Dec</v>
      </c>
      <c r="J9" t="s">
        <v>46</v>
      </c>
      <c r="K9" t="s">
        <v>16</v>
      </c>
      <c r="L9" t="s">
        <v>17</v>
      </c>
      <c r="M9" t="s">
        <v>18</v>
      </c>
      <c r="N9">
        <v>43</v>
      </c>
    </row>
    <row r="10" spans="1:16" x14ac:dyDescent="0.25">
      <c r="A10" t="s">
        <v>47</v>
      </c>
      <c r="B10" t="s">
        <v>48</v>
      </c>
      <c r="C10" t="s">
        <v>27</v>
      </c>
      <c r="D10" s="2">
        <v>4348.2700000000004</v>
      </c>
      <c r="E10">
        <v>5</v>
      </c>
      <c r="F10" s="2">
        <f>ecommerce_store_dataset[[#This Row],[price]]*ecommerce_store_dataset[[#This Row],[qty]]</f>
        <v>21741.350000000002</v>
      </c>
      <c r="G10" s="1">
        <v>45819</v>
      </c>
      <c r="H10" s="1">
        <v>45822</v>
      </c>
      <c r="I10" s="1" t="str">
        <f>TEXT(ecommerce_store_dataset[[#This Row],[Delivery_date]],"mmm")</f>
        <v>Jun</v>
      </c>
      <c r="J10" t="s">
        <v>49</v>
      </c>
      <c r="K10" t="s">
        <v>50</v>
      </c>
      <c r="L10" t="s">
        <v>33</v>
      </c>
      <c r="M10" t="s">
        <v>24</v>
      </c>
      <c r="N10">
        <v>26</v>
      </c>
      <c r="P10" s="2"/>
    </row>
    <row r="11" spans="1:16" x14ac:dyDescent="0.25">
      <c r="A11" t="s">
        <v>51</v>
      </c>
      <c r="B11" t="s">
        <v>52</v>
      </c>
      <c r="C11" t="s">
        <v>53</v>
      </c>
      <c r="D11" s="2">
        <v>3485.53</v>
      </c>
      <c r="E11">
        <v>4</v>
      </c>
      <c r="F11" s="2">
        <f>ecommerce_store_dataset[[#This Row],[price]]*ecommerce_store_dataset[[#This Row],[qty]]</f>
        <v>13942.12</v>
      </c>
      <c r="G11" s="1">
        <v>45956</v>
      </c>
      <c r="H11" s="1">
        <v>45961</v>
      </c>
      <c r="I11" s="1" t="str">
        <f>TEXT(ecommerce_store_dataset[[#This Row],[Delivery_date]],"mmm")</f>
        <v>Oct</v>
      </c>
      <c r="J11" t="s">
        <v>40</v>
      </c>
      <c r="K11" t="s">
        <v>29</v>
      </c>
      <c r="L11" t="s">
        <v>30</v>
      </c>
      <c r="M11" t="s">
        <v>18</v>
      </c>
      <c r="N11">
        <v>23</v>
      </c>
    </row>
    <row r="12" spans="1:16" x14ac:dyDescent="0.25">
      <c r="A12" t="s">
        <v>54</v>
      </c>
      <c r="B12" t="s">
        <v>20</v>
      </c>
      <c r="C12" t="s">
        <v>14</v>
      </c>
      <c r="D12" s="2">
        <v>593.89</v>
      </c>
      <c r="E12">
        <v>2</v>
      </c>
      <c r="F12" s="2">
        <f>ecommerce_store_dataset[[#This Row],[price]]*ecommerce_store_dataset[[#This Row],[qty]]</f>
        <v>1187.78</v>
      </c>
      <c r="G12" s="1">
        <v>46006</v>
      </c>
      <c r="H12" s="1">
        <v>46011</v>
      </c>
      <c r="I12" s="1" t="str">
        <f>TEXT(ecommerce_store_dataset[[#This Row],[Delivery_date]],"mmm")</f>
        <v>Dec</v>
      </c>
      <c r="J12" t="s">
        <v>55</v>
      </c>
      <c r="K12" t="s">
        <v>22</v>
      </c>
      <c r="L12" t="s">
        <v>33</v>
      </c>
      <c r="M12" t="s">
        <v>24</v>
      </c>
      <c r="N12">
        <v>47</v>
      </c>
    </row>
    <row r="13" spans="1:16" x14ac:dyDescent="0.25">
      <c r="A13" t="s">
        <v>56</v>
      </c>
      <c r="B13" t="s">
        <v>57</v>
      </c>
      <c r="C13" t="s">
        <v>27</v>
      </c>
      <c r="D13" s="2">
        <v>13120.53</v>
      </c>
      <c r="E13">
        <v>1</v>
      </c>
      <c r="F13" s="2">
        <f>ecommerce_store_dataset[[#This Row],[price]]*ecommerce_store_dataset[[#This Row],[qty]]</f>
        <v>13120.53</v>
      </c>
      <c r="G13" s="1">
        <v>46006</v>
      </c>
      <c r="H13" s="1">
        <v>46013</v>
      </c>
      <c r="I13" s="1" t="str">
        <f>TEXT(ecommerce_store_dataset[[#This Row],[Delivery_date]],"mmm")</f>
        <v>Dec</v>
      </c>
      <c r="J13" t="s">
        <v>15</v>
      </c>
      <c r="K13" t="s">
        <v>16</v>
      </c>
      <c r="L13" t="s">
        <v>41</v>
      </c>
      <c r="M13" t="s">
        <v>18</v>
      </c>
      <c r="N13">
        <v>39</v>
      </c>
    </row>
    <row r="14" spans="1:16" x14ac:dyDescent="0.25">
      <c r="A14" t="s">
        <v>58</v>
      </c>
      <c r="B14" t="s">
        <v>35</v>
      </c>
      <c r="C14" t="s">
        <v>14</v>
      </c>
      <c r="D14" s="2">
        <v>1228.22</v>
      </c>
      <c r="E14">
        <v>4</v>
      </c>
      <c r="F14" s="2">
        <f>ecommerce_store_dataset[[#This Row],[price]]*ecommerce_store_dataset[[#This Row],[qty]]</f>
        <v>4912.88</v>
      </c>
      <c r="G14" s="1">
        <v>45659</v>
      </c>
      <c r="H14" s="1">
        <v>45666</v>
      </c>
      <c r="I14" s="1" t="str">
        <f>TEXT(ecommerce_store_dataset[[#This Row],[Delivery_date]],"mmm")</f>
        <v>Jan</v>
      </c>
      <c r="J14" t="s">
        <v>59</v>
      </c>
      <c r="K14" t="s">
        <v>29</v>
      </c>
      <c r="L14" t="s">
        <v>30</v>
      </c>
      <c r="M14" t="s">
        <v>18</v>
      </c>
      <c r="N14">
        <v>24</v>
      </c>
    </row>
    <row r="15" spans="1:16" x14ac:dyDescent="0.25">
      <c r="A15" t="s">
        <v>60</v>
      </c>
      <c r="B15" t="s">
        <v>26</v>
      </c>
      <c r="C15" t="s">
        <v>27</v>
      </c>
      <c r="D15" s="2">
        <v>10125.82</v>
      </c>
      <c r="E15">
        <v>5</v>
      </c>
      <c r="F15" s="2">
        <f>ecommerce_store_dataset[[#This Row],[price]]*ecommerce_store_dataset[[#This Row],[qty]]</f>
        <v>50629.1</v>
      </c>
      <c r="G15" s="1">
        <v>45759</v>
      </c>
      <c r="H15" s="1">
        <v>45762</v>
      </c>
      <c r="I15" s="1" t="str">
        <f>TEXT(ecommerce_store_dataset[[#This Row],[Delivery_date]],"mmm")</f>
        <v>Apr</v>
      </c>
      <c r="J15" t="s">
        <v>40</v>
      </c>
      <c r="K15" t="s">
        <v>29</v>
      </c>
      <c r="L15" t="s">
        <v>23</v>
      </c>
      <c r="M15" t="s">
        <v>18</v>
      </c>
      <c r="N15">
        <v>51</v>
      </c>
    </row>
    <row r="16" spans="1:16" x14ac:dyDescent="0.25">
      <c r="A16" t="s">
        <v>61</v>
      </c>
      <c r="B16" t="s">
        <v>62</v>
      </c>
      <c r="C16" t="s">
        <v>14</v>
      </c>
      <c r="D16" s="2">
        <v>1349.36</v>
      </c>
      <c r="E16">
        <v>1</v>
      </c>
      <c r="F16" s="2">
        <f>ecommerce_store_dataset[[#This Row],[price]]*ecommerce_store_dataset[[#This Row],[qty]]</f>
        <v>1349.36</v>
      </c>
      <c r="G16" s="1">
        <v>45843</v>
      </c>
      <c r="H16" s="1">
        <v>45847</v>
      </c>
      <c r="I16" s="1" t="str">
        <f>TEXT(ecommerce_store_dataset[[#This Row],[Delivery_date]],"mmm")</f>
        <v>Jul</v>
      </c>
      <c r="J16" t="s">
        <v>36</v>
      </c>
      <c r="K16" t="s">
        <v>37</v>
      </c>
      <c r="L16" t="s">
        <v>30</v>
      </c>
      <c r="M16" t="s">
        <v>18</v>
      </c>
      <c r="N16">
        <v>23</v>
      </c>
    </row>
    <row r="17" spans="1:14" x14ac:dyDescent="0.25">
      <c r="A17" t="s">
        <v>63</v>
      </c>
      <c r="B17" t="s">
        <v>64</v>
      </c>
      <c r="C17" t="s">
        <v>14</v>
      </c>
      <c r="D17" s="2">
        <v>2086.0500000000002</v>
      </c>
      <c r="E17">
        <v>5</v>
      </c>
      <c r="F17" s="2">
        <f>ecommerce_store_dataset[[#This Row],[price]]*ecommerce_store_dataset[[#This Row],[qty]]</f>
        <v>10430.25</v>
      </c>
      <c r="G17" s="1">
        <v>45722</v>
      </c>
      <c r="H17" s="1">
        <v>45725</v>
      </c>
      <c r="I17" s="1" t="str">
        <f>TEXT(ecommerce_store_dataset[[#This Row],[Delivery_date]],"mmm")</f>
        <v>Mar</v>
      </c>
      <c r="J17" t="s">
        <v>65</v>
      </c>
      <c r="K17" t="s">
        <v>50</v>
      </c>
      <c r="L17" t="s">
        <v>30</v>
      </c>
      <c r="M17" t="s">
        <v>24</v>
      </c>
      <c r="N17">
        <v>56</v>
      </c>
    </row>
    <row r="18" spans="1:14" x14ac:dyDescent="0.25">
      <c r="A18" t="s">
        <v>66</v>
      </c>
      <c r="B18" t="s">
        <v>67</v>
      </c>
      <c r="C18" t="s">
        <v>68</v>
      </c>
      <c r="D18" s="2">
        <v>746.69</v>
      </c>
      <c r="E18">
        <v>2</v>
      </c>
      <c r="F18" s="2">
        <f>ecommerce_store_dataset[[#This Row],[price]]*ecommerce_store_dataset[[#This Row],[qty]]</f>
        <v>1493.38</v>
      </c>
      <c r="G18" s="1">
        <v>46023</v>
      </c>
      <c r="H18" s="1">
        <v>46027</v>
      </c>
      <c r="I18" s="1" t="str">
        <f>TEXT(ecommerce_store_dataset[[#This Row],[Delivery_date]],"mmm")</f>
        <v>Jan</v>
      </c>
      <c r="J18" t="s">
        <v>69</v>
      </c>
      <c r="K18" t="s">
        <v>50</v>
      </c>
      <c r="L18" t="s">
        <v>33</v>
      </c>
      <c r="M18" t="s">
        <v>18</v>
      </c>
      <c r="N18">
        <v>46</v>
      </c>
    </row>
    <row r="19" spans="1:14" x14ac:dyDescent="0.25">
      <c r="A19" t="s">
        <v>70</v>
      </c>
      <c r="B19" t="s">
        <v>39</v>
      </c>
      <c r="C19" t="s">
        <v>14</v>
      </c>
      <c r="D19" s="2">
        <v>755.57</v>
      </c>
      <c r="E19">
        <v>3</v>
      </c>
      <c r="F19" s="2">
        <f>ecommerce_store_dataset[[#This Row],[price]]*ecommerce_store_dataset[[#This Row],[qty]]</f>
        <v>2266.71</v>
      </c>
      <c r="G19" s="1">
        <v>45668</v>
      </c>
      <c r="H19" s="1">
        <v>45674</v>
      </c>
      <c r="I19" s="1" t="str">
        <f>TEXT(ecommerce_store_dataset[[#This Row],[Delivery_date]],"mmm")</f>
        <v>Jan</v>
      </c>
      <c r="J19" t="s">
        <v>21</v>
      </c>
      <c r="K19" t="s">
        <v>22</v>
      </c>
      <c r="L19" t="s">
        <v>23</v>
      </c>
      <c r="M19" t="s">
        <v>24</v>
      </c>
      <c r="N19">
        <v>22</v>
      </c>
    </row>
    <row r="20" spans="1:14" x14ac:dyDescent="0.25">
      <c r="A20" t="s">
        <v>71</v>
      </c>
      <c r="B20" t="s">
        <v>39</v>
      </c>
      <c r="C20" t="s">
        <v>14</v>
      </c>
      <c r="D20" s="2">
        <v>401.65</v>
      </c>
      <c r="E20">
        <v>1</v>
      </c>
      <c r="F20" s="2">
        <f>ecommerce_store_dataset[[#This Row],[price]]*ecommerce_store_dataset[[#This Row],[qty]]</f>
        <v>401.65</v>
      </c>
      <c r="G20" s="1">
        <v>45827</v>
      </c>
      <c r="H20" s="1">
        <v>45829</v>
      </c>
      <c r="I20" s="1" t="str">
        <f>TEXT(ecommerce_store_dataset[[#This Row],[Delivery_date]],"mmm")</f>
        <v>Jun</v>
      </c>
      <c r="J20" t="s">
        <v>21</v>
      </c>
      <c r="K20" t="s">
        <v>22</v>
      </c>
      <c r="L20" t="s">
        <v>41</v>
      </c>
      <c r="M20" t="s">
        <v>18</v>
      </c>
      <c r="N20">
        <v>31</v>
      </c>
    </row>
    <row r="21" spans="1:14" x14ac:dyDescent="0.25">
      <c r="A21" t="s">
        <v>72</v>
      </c>
      <c r="B21" t="s">
        <v>73</v>
      </c>
      <c r="C21" t="s">
        <v>53</v>
      </c>
      <c r="D21" s="2">
        <v>1464.42</v>
      </c>
      <c r="E21">
        <v>4</v>
      </c>
      <c r="F21" s="2">
        <f>ecommerce_store_dataset[[#This Row],[price]]*ecommerce_store_dataset[[#This Row],[qty]]</f>
        <v>5857.68</v>
      </c>
      <c r="G21" s="1">
        <v>45866</v>
      </c>
      <c r="H21" s="1">
        <v>45869</v>
      </c>
      <c r="I21" s="1" t="str">
        <f>TEXT(ecommerce_store_dataset[[#This Row],[Delivery_date]],"mmm")</f>
        <v>Jul</v>
      </c>
      <c r="J21" t="s">
        <v>74</v>
      </c>
      <c r="K21" t="s">
        <v>16</v>
      </c>
      <c r="L21" t="s">
        <v>33</v>
      </c>
      <c r="M21" t="s">
        <v>24</v>
      </c>
      <c r="N21">
        <v>44</v>
      </c>
    </row>
    <row r="22" spans="1:14" x14ac:dyDescent="0.25">
      <c r="A22" t="s">
        <v>75</v>
      </c>
      <c r="B22" t="s">
        <v>76</v>
      </c>
      <c r="C22" t="s">
        <v>68</v>
      </c>
      <c r="D22" s="2">
        <v>596.80999999999995</v>
      </c>
      <c r="E22">
        <v>1</v>
      </c>
      <c r="F22" s="2">
        <f>ecommerce_store_dataset[[#This Row],[price]]*ecommerce_store_dataset[[#This Row],[qty]]</f>
        <v>596.80999999999995</v>
      </c>
      <c r="G22" s="1">
        <v>45689</v>
      </c>
      <c r="H22" s="1">
        <v>45694</v>
      </c>
      <c r="I22" s="1" t="str">
        <f>TEXT(ecommerce_store_dataset[[#This Row],[Delivery_date]],"mmm")</f>
        <v>Feb</v>
      </c>
      <c r="J22" t="s">
        <v>32</v>
      </c>
      <c r="K22" t="s">
        <v>29</v>
      </c>
      <c r="L22" t="s">
        <v>30</v>
      </c>
      <c r="M22" t="s">
        <v>24</v>
      </c>
      <c r="N22">
        <v>52</v>
      </c>
    </row>
    <row r="23" spans="1:14" x14ac:dyDescent="0.25">
      <c r="A23" t="s">
        <v>77</v>
      </c>
      <c r="B23" t="s">
        <v>67</v>
      </c>
      <c r="C23" t="s">
        <v>68</v>
      </c>
      <c r="D23" s="2">
        <v>366.41</v>
      </c>
      <c r="E23">
        <v>3</v>
      </c>
      <c r="F23" s="2">
        <f>ecommerce_store_dataset[[#This Row],[price]]*ecommerce_store_dataset[[#This Row],[qty]]</f>
        <v>1099.23</v>
      </c>
      <c r="G23" s="1">
        <v>45894</v>
      </c>
      <c r="H23" s="1">
        <v>45897</v>
      </c>
      <c r="I23" s="1" t="str">
        <f>TEXT(ecommerce_store_dataset[[#This Row],[Delivery_date]],"mmm")</f>
        <v>Aug</v>
      </c>
      <c r="J23" t="s">
        <v>78</v>
      </c>
      <c r="K23" t="s">
        <v>16</v>
      </c>
      <c r="L23" t="s">
        <v>23</v>
      </c>
      <c r="M23" t="s">
        <v>24</v>
      </c>
      <c r="N23">
        <v>59</v>
      </c>
    </row>
    <row r="24" spans="1:14" x14ac:dyDescent="0.25">
      <c r="A24" t="s">
        <v>79</v>
      </c>
      <c r="B24" t="s">
        <v>20</v>
      </c>
      <c r="C24" t="s">
        <v>14</v>
      </c>
      <c r="D24" s="2">
        <v>2334.33</v>
      </c>
      <c r="E24">
        <v>2</v>
      </c>
      <c r="F24" s="2">
        <f>ecommerce_store_dataset[[#This Row],[price]]*ecommerce_store_dataset[[#This Row],[qty]]</f>
        <v>4668.66</v>
      </c>
      <c r="G24" s="1">
        <v>45743</v>
      </c>
      <c r="H24" s="1">
        <v>45748</v>
      </c>
      <c r="I24" s="1" t="str">
        <f>TEXT(ecommerce_store_dataset[[#This Row],[Delivery_date]],"mmm")</f>
        <v>Apr</v>
      </c>
      <c r="J24" t="s">
        <v>49</v>
      </c>
      <c r="K24" t="s">
        <v>50</v>
      </c>
      <c r="L24" t="s">
        <v>30</v>
      </c>
      <c r="M24" t="s">
        <v>18</v>
      </c>
      <c r="N24">
        <v>21</v>
      </c>
    </row>
    <row r="25" spans="1:14" x14ac:dyDescent="0.25">
      <c r="A25" t="s">
        <v>80</v>
      </c>
      <c r="B25" t="s">
        <v>81</v>
      </c>
      <c r="C25" t="s">
        <v>53</v>
      </c>
      <c r="D25" s="2">
        <v>498.64</v>
      </c>
      <c r="E25">
        <v>4</v>
      </c>
      <c r="F25" s="2">
        <f>ecommerce_store_dataset[[#This Row],[price]]*ecommerce_store_dataset[[#This Row],[qty]]</f>
        <v>1994.56</v>
      </c>
      <c r="G25" s="1">
        <v>45793</v>
      </c>
      <c r="H25" s="1">
        <v>45798</v>
      </c>
      <c r="I25" s="1" t="str">
        <f>TEXT(ecommerce_store_dataset[[#This Row],[Delivery_date]],"mmm")</f>
        <v>May</v>
      </c>
      <c r="J25" t="s">
        <v>82</v>
      </c>
      <c r="K25" t="s">
        <v>29</v>
      </c>
      <c r="L25" t="s">
        <v>23</v>
      </c>
      <c r="M25" t="s">
        <v>18</v>
      </c>
      <c r="N25">
        <v>49</v>
      </c>
    </row>
    <row r="26" spans="1:14" x14ac:dyDescent="0.25">
      <c r="A26" t="s">
        <v>83</v>
      </c>
      <c r="B26" t="s">
        <v>84</v>
      </c>
      <c r="C26" t="s">
        <v>53</v>
      </c>
      <c r="D26" s="2">
        <v>1679.8</v>
      </c>
      <c r="E26">
        <v>1</v>
      </c>
      <c r="F26" s="2">
        <f>ecommerce_store_dataset[[#This Row],[price]]*ecommerce_store_dataset[[#This Row],[qty]]</f>
        <v>1679.8</v>
      </c>
      <c r="G26" s="1">
        <v>45954</v>
      </c>
      <c r="H26" s="1">
        <v>45961</v>
      </c>
      <c r="I26" s="1" t="str">
        <f>TEXT(ecommerce_store_dataset[[#This Row],[Delivery_date]],"mmm")</f>
        <v>Oct</v>
      </c>
      <c r="J26" t="s">
        <v>55</v>
      </c>
      <c r="K26" t="s">
        <v>22</v>
      </c>
      <c r="L26" t="s">
        <v>41</v>
      </c>
      <c r="M26" t="s">
        <v>24</v>
      </c>
      <c r="N26">
        <v>55</v>
      </c>
    </row>
    <row r="27" spans="1:14" x14ac:dyDescent="0.25">
      <c r="A27" t="s">
        <v>85</v>
      </c>
      <c r="B27" t="s">
        <v>86</v>
      </c>
      <c r="C27" t="s">
        <v>68</v>
      </c>
      <c r="D27" s="2">
        <v>739.54</v>
      </c>
      <c r="E27">
        <v>5</v>
      </c>
      <c r="F27" s="2">
        <f>ecommerce_store_dataset[[#This Row],[price]]*ecommerce_store_dataset[[#This Row],[qty]]</f>
        <v>3697.7</v>
      </c>
      <c r="G27" s="1">
        <v>45738</v>
      </c>
      <c r="H27" s="1">
        <v>45740</v>
      </c>
      <c r="I27" s="1" t="str">
        <f>TEXT(ecommerce_store_dataset[[#This Row],[Delivery_date]],"mmm")</f>
        <v>Mar</v>
      </c>
      <c r="J27" t="s">
        <v>55</v>
      </c>
      <c r="K27" t="s">
        <v>22</v>
      </c>
      <c r="L27" t="s">
        <v>30</v>
      </c>
      <c r="M27" t="s">
        <v>24</v>
      </c>
      <c r="N27">
        <v>22</v>
      </c>
    </row>
    <row r="28" spans="1:14" x14ac:dyDescent="0.25">
      <c r="A28" t="s">
        <v>87</v>
      </c>
      <c r="B28" t="s">
        <v>81</v>
      </c>
      <c r="C28" t="s">
        <v>53</v>
      </c>
      <c r="D28" s="2">
        <v>970.75</v>
      </c>
      <c r="E28">
        <v>5</v>
      </c>
      <c r="F28" s="2">
        <f>ecommerce_store_dataset[[#This Row],[price]]*ecommerce_store_dataset[[#This Row],[qty]]</f>
        <v>4853.75</v>
      </c>
      <c r="G28" s="1">
        <v>45784</v>
      </c>
      <c r="H28" s="1">
        <v>45790</v>
      </c>
      <c r="I28" s="1" t="str">
        <f>TEXT(ecommerce_store_dataset[[#This Row],[Delivery_date]],"mmm")</f>
        <v>May</v>
      </c>
      <c r="J28" t="s">
        <v>55</v>
      </c>
      <c r="K28" t="s">
        <v>22</v>
      </c>
      <c r="L28" t="s">
        <v>23</v>
      </c>
      <c r="M28" t="s">
        <v>24</v>
      </c>
      <c r="N28">
        <v>60</v>
      </c>
    </row>
    <row r="29" spans="1:14" x14ac:dyDescent="0.25">
      <c r="A29" t="s">
        <v>88</v>
      </c>
      <c r="B29" t="s">
        <v>89</v>
      </c>
      <c r="C29" t="s">
        <v>27</v>
      </c>
      <c r="D29" s="2">
        <v>4257.5</v>
      </c>
      <c r="E29">
        <v>3</v>
      </c>
      <c r="F29" s="2">
        <f>ecommerce_store_dataset[[#This Row],[price]]*ecommerce_store_dataset[[#This Row],[qty]]</f>
        <v>12772.5</v>
      </c>
      <c r="G29" s="1">
        <v>45780</v>
      </c>
      <c r="H29" s="1">
        <v>45784</v>
      </c>
      <c r="I29" s="1" t="str">
        <f>TEXT(ecommerce_store_dataset[[#This Row],[Delivery_date]],"mmm")</f>
        <v>May</v>
      </c>
      <c r="J29" t="s">
        <v>90</v>
      </c>
      <c r="K29" t="s">
        <v>50</v>
      </c>
      <c r="L29" t="s">
        <v>41</v>
      </c>
      <c r="M29" t="s">
        <v>24</v>
      </c>
      <c r="N29">
        <v>22</v>
      </c>
    </row>
    <row r="30" spans="1:14" x14ac:dyDescent="0.25">
      <c r="A30" t="s">
        <v>91</v>
      </c>
      <c r="B30" t="s">
        <v>64</v>
      </c>
      <c r="C30" t="s">
        <v>14</v>
      </c>
      <c r="D30" s="2">
        <v>1647.61</v>
      </c>
      <c r="E30">
        <v>5</v>
      </c>
      <c r="F30" s="2">
        <f>ecommerce_store_dataset[[#This Row],[price]]*ecommerce_store_dataset[[#This Row],[qty]]</f>
        <v>8238.0499999999993</v>
      </c>
      <c r="G30" s="1">
        <v>45709</v>
      </c>
      <c r="H30" s="1">
        <v>45711</v>
      </c>
      <c r="I30" s="1" t="str">
        <f>TEXT(ecommerce_store_dataset[[#This Row],[Delivery_date]],"mmm")</f>
        <v>Feb</v>
      </c>
      <c r="J30" t="s">
        <v>21</v>
      </c>
      <c r="K30" t="s">
        <v>22</v>
      </c>
      <c r="L30" t="s">
        <v>23</v>
      </c>
      <c r="M30" t="s">
        <v>24</v>
      </c>
      <c r="N30">
        <v>40</v>
      </c>
    </row>
    <row r="31" spans="1:14" x14ac:dyDescent="0.25">
      <c r="A31" t="s">
        <v>92</v>
      </c>
      <c r="B31" t="s">
        <v>39</v>
      </c>
      <c r="C31" t="s">
        <v>14</v>
      </c>
      <c r="D31" s="2">
        <v>1081.44</v>
      </c>
      <c r="E31">
        <v>2</v>
      </c>
      <c r="F31" s="2">
        <f>ecommerce_store_dataset[[#This Row],[price]]*ecommerce_store_dataset[[#This Row],[qty]]</f>
        <v>2162.88</v>
      </c>
      <c r="G31" s="1">
        <v>45882</v>
      </c>
      <c r="H31" s="1">
        <v>45888</v>
      </c>
      <c r="I31" s="1" t="str">
        <f>TEXT(ecommerce_store_dataset[[#This Row],[Delivery_date]],"mmm")</f>
        <v>Aug</v>
      </c>
      <c r="J31" t="s">
        <v>59</v>
      </c>
      <c r="K31" t="s">
        <v>29</v>
      </c>
      <c r="L31" t="s">
        <v>23</v>
      </c>
      <c r="M31" t="s">
        <v>24</v>
      </c>
      <c r="N31">
        <v>53</v>
      </c>
    </row>
    <row r="32" spans="1:14" x14ac:dyDescent="0.25">
      <c r="A32" t="s">
        <v>93</v>
      </c>
      <c r="B32" t="s">
        <v>43</v>
      </c>
      <c r="C32" t="s">
        <v>27</v>
      </c>
      <c r="D32" s="2">
        <v>2898.42</v>
      </c>
      <c r="E32">
        <v>2</v>
      </c>
      <c r="F32" s="2">
        <f>ecommerce_store_dataset[[#This Row],[price]]*ecommerce_store_dataset[[#This Row],[qty]]</f>
        <v>5796.84</v>
      </c>
      <c r="G32" s="1">
        <v>45793</v>
      </c>
      <c r="H32" s="1">
        <v>45795</v>
      </c>
      <c r="I32" s="1" t="str">
        <f>TEXT(ecommerce_store_dataset[[#This Row],[Delivery_date]],"mmm")</f>
        <v>May</v>
      </c>
      <c r="J32" t="s">
        <v>15</v>
      </c>
      <c r="K32" t="s">
        <v>16</v>
      </c>
      <c r="L32" t="s">
        <v>30</v>
      </c>
      <c r="M32" t="s">
        <v>24</v>
      </c>
      <c r="N32">
        <v>56</v>
      </c>
    </row>
    <row r="33" spans="1:14" x14ac:dyDescent="0.25">
      <c r="A33" t="s">
        <v>94</v>
      </c>
      <c r="B33" t="s">
        <v>95</v>
      </c>
      <c r="C33" t="s">
        <v>53</v>
      </c>
      <c r="D33" s="2">
        <v>1306.43</v>
      </c>
      <c r="E33">
        <v>3</v>
      </c>
      <c r="F33" s="2">
        <f>ecommerce_store_dataset[[#This Row],[price]]*ecommerce_store_dataset[[#This Row],[qty]]</f>
        <v>3919.29</v>
      </c>
      <c r="G33" s="1">
        <v>45916</v>
      </c>
      <c r="H33" s="1">
        <v>45921</v>
      </c>
      <c r="I33" s="1" t="str">
        <f>TEXT(ecommerce_store_dataset[[#This Row],[Delivery_date]],"mmm")</f>
        <v>Sep</v>
      </c>
      <c r="J33" t="s">
        <v>32</v>
      </c>
      <c r="K33" t="s">
        <v>29</v>
      </c>
      <c r="L33" t="s">
        <v>17</v>
      </c>
      <c r="M33" t="s">
        <v>18</v>
      </c>
      <c r="N33">
        <v>35</v>
      </c>
    </row>
    <row r="34" spans="1:14" x14ac:dyDescent="0.25">
      <c r="A34" t="s">
        <v>96</v>
      </c>
      <c r="B34" t="s">
        <v>13</v>
      </c>
      <c r="C34" t="s">
        <v>14</v>
      </c>
      <c r="D34" s="2">
        <v>1000.5</v>
      </c>
      <c r="E34">
        <v>2</v>
      </c>
      <c r="F34" s="2">
        <f>ecommerce_store_dataset[[#This Row],[price]]*ecommerce_store_dataset[[#This Row],[qty]]</f>
        <v>2001</v>
      </c>
      <c r="G34" s="1">
        <v>45984</v>
      </c>
      <c r="H34" s="1">
        <v>45988</v>
      </c>
      <c r="I34" s="1" t="str">
        <f>TEXT(ecommerce_store_dataset[[#This Row],[Delivery_date]],"mmm")</f>
        <v>Nov</v>
      </c>
      <c r="J34" t="s">
        <v>97</v>
      </c>
      <c r="K34" t="s">
        <v>37</v>
      </c>
      <c r="L34" t="s">
        <v>23</v>
      </c>
      <c r="M34" t="s">
        <v>18</v>
      </c>
      <c r="N34">
        <v>53</v>
      </c>
    </row>
    <row r="35" spans="1:14" x14ac:dyDescent="0.25">
      <c r="A35" t="s">
        <v>98</v>
      </c>
      <c r="B35" t="s">
        <v>20</v>
      </c>
      <c r="C35" t="s">
        <v>14</v>
      </c>
      <c r="D35" s="2">
        <v>419.3</v>
      </c>
      <c r="E35">
        <v>2</v>
      </c>
      <c r="F35" s="2">
        <f>ecommerce_store_dataset[[#This Row],[price]]*ecommerce_store_dataset[[#This Row],[qty]]</f>
        <v>838.6</v>
      </c>
      <c r="G35" s="1">
        <v>45937</v>
      </c>
      <c r="H35" s="1">
        <v>45939</v>
      </c>
      <c r="I35" s="1" t="str">
        <f>TEXT(ecommerce_store_dataset[[#This Row],[Delivery_date]],"mmm")</f>
        <v>Oct</v>
      </c>
      <c r="J35" t="s">
        <v>59</v>
      </c>
      <c r="K35" t="s">
        <v>29</v>
      </c>
      <c r="L35" t="s">
        <v>23</v>
      </c>
      <c r="M35" t="s">
        <v>24</v>
      </c>
      <c r="N35">
        <v>26</v>
      </c>
    </row>
    <row r="36" spans="1:14" x14ac:dyDescent="0.25">
      <c r="A36" t="s">
        <v>99</v>
      </c>
      <c r="B36" t="s">
        <v>35</v>
      </c>
      <c r="C36" t="s">
        <v>14</v>
      </c>
      <c r="D36" s="2">
        <v>1070.47</v>
      </c>
      <c r="E36">
        <v>1</v>
      </c>
      <c r="F36" s="2">
        <f>ecommerce_store_dataset[[#This Row],[price]]*ecommerce_store_dataset[[#This Row],[qty]]</f>
        <v>1070.47</v>
      </c>
      <c r="G36" s="1">
        <v>45841</v>
      </c>
      <c r="H36" s="1">
        <v>45844</v>
      </c>
      <c r="I36" s="1" t="str">
        <f>TEXT(ecommerce_store_dataset[[#This Row],[Delivery_date]],"mmm")</f>
        <v>Jul</v>
      </c>
      <c r="J36" t="s">
        <v>36</v>
      </c>
      <c r="K36" t="s">
        <v>37</v>
      </c>
      <c r="L36" t="s">
        <v>41</v>
      </c>
      <c r="M36" t="s">
        <v>18</v>
      </c>
      <c r="N36">
        <v>44</v>
      </c>
    </row>
    <row r="37" spans="1:14" x14ac:dyDescent="0.25">
      <c r="A37" t="s">
        <v>100</v>
      </c>
      <c r="B37" t="s">
        <v>84</v>
      </c>
      <c r="C37" t="s">
        <v>53</v>
      </c>
      <c r="D37" s="2">
        <v>3957.07</v>
      </c>
      <c r="E37">
        <v>2</v>
      </c>
      <c r="F37" s="2">
        <f>ecommerce_store_dataset[[#This Row],[price]]*ecommerce_store_dataset[[#This Row],[qty]]</f>
        <v>7914.14</v>
      </c>
      <c r="G37" s="1">
        <v>45869</v>
      </c>
      <c r="H37" s="1">
        <v>45871</v>
      </c>
      <c r="I37" s="1" t="str">
        <f>TEXT(ecommerce_store_dataset[[#This Row],[Delivery_date]],"mmm")</f>
        <v>Aug</v>
      </c>
      <c r="J37" t="s">
        <v>101</v>
      </c>
      <c r="K37" t="s">
        <v>37</v>
      </c>
      <c r="L37" t="s">
        <v>33</v>
      </c>
      <c r="M37" t="s">
        <v>18</v>
      </c>
      <c r="N37">
        <v>65</v>
      </c>
    </row>
    <row r="38" spans="1:14" x14ac:dyDescent="0.25">
      <c r="A38" t="s">
        <v>102</v>
      </c>
      <c r="B38" t="s">
        <v>52</v>
      </c>
      <c r="C38" t="s">
        <v>53</v>
      </c>
      <c r="D38" s="2">
        <v>1128.3800000000001</v>
      </c>
      <c r="E38">
        <v>1</v>
      </c>
      <c r="F38" s="2">
        <f>ecommerce_store_dataset[[#This Row],[price]]*ecommerce_store_dataset[[#This Row],[qty]]</f>
        <v>1128.3800000000001</v>
      </c>
      <c r="G38" s="1">
        <v>45853</v>
      </c>
      <c r="H38" s="1">
        <v>45855</v>
      </c>
      <c r="I38" s="1" t="str">
        <f>TEXT(ecommerce_store_dataset[[#This Row],[Delivery_date]],"mmm")</f>
        <v>Jul</v>
      </c>
      <c r="J38" t="s">
        <v>90</v>
      </c>
      <c r="K38" t="s">
        <v>50</v>
      </c>
      <c r="L38" t="s">
        <v>30</v>
      </c>
      <c r="M38" t="s">
        <v>18</v>
      </c>
      <c r="N38">
        <v>47</v>
      </c>
    </row>
    <row r="39" spans="1:14" x14ac:dyDescent="0.25">
      <c r="A39" t="s">
        <v>103</v>
      </c>
      <c r="B39" t="s">
        <v>89</v>
      </c>
      <c r="C39" t="s">
        <v>27</v>
      </c>
      <c r="D39" s="2">
        <v>12577.24</v>
      </c>
      <c r="E39">
        <v>2</v>
      </c>
      <c r="F39" s="2">
        <f>ecommerce_store_dataset[[#This Row],[price]]*ecommerce_store_dataset[[#This Row],[qty]]</f>
        <v>25154.48</v>
      </c>
      <c r="G39" s="1">
        <v>45772</v>
      </c>
      <c r="H39" s="1">
        <v>45774</v>
      </c>
      <c r="I39" s="1" t="str">
        <f>TEXT(ecommerce_store_dataset[[#This Row],[Delivery_date]],"mmm")</f>
        <v>Apr</v>
      </c>
      <c r="J39" t="s">
        <v>97</v>
      </c>
      <c r="K39" t="s">
        <v>37</v>
      </c>
      <c r="L39" t="s">
        <v>41</v>
      </c>
      <c r="M39" t="s">
        <v>24</v>
      </c>
      <c r="N39">
        <v>22</v>
      </c>
    </row>
    <row r="40" spans="1:14" x14ac:dyDescent="0.25">
      <c r="A40" t="s">
        <v>104</v>
      </c>
      <c r="B40" t="s">
        <v>89</v>
      </c>
      <c r="C40" t="s">
        <v>27</v>
      </c>
      <c r="D40" s="2">
        <v>10160</v>
      </c>
      <c r="E40">
        <v>4</v>
      </c>
      <c r="F40" s="2">
        <f>ecommerce_store_dataset[[#This Row],[price]]*ecommerce_store_dataset[[#This Row],[qty]]</f>
        <v>40640</v>
      </c>
      <c r="G40" s="1">
        <v>46005</v>
      </c>
      <c r="H40" s="1">
        <v>46011</v>
      </c>
      <c r="I40" s="1" t="str">
        <f>TEXT(ecommerce_store_dataset[[#This Row],[Delivery_date]],"mmm")</f>
        <v>Dec</v>
      </c>
      <c r="J40" t="s">
        <v>32</v>
      </c>
      <c r="K40" t="s">
        <v>29</v>
      </c>
      <c r="L40" t="s">
        <v>17</v>
      </c>
      <c r="M40" t="s">
        <v>18</v>
      </c>
      <c r="N40">
        <v>34</v>
      </c>
    </row>
    <row r="41" spans="1:14" x14ac:dyDescent="0.25">
      <c r="A41" t="s">
        <v>105</v>
      </c>
      <c r="B41" t="s">
        <v>52</v>
      </c>
      <c r="C41" t="s">
        <v>53</v>
      </c>
      <c r="D41" s="2">
        <v>643.41</v>
      </c>
      <c r="E41">
        <v>5</v>
      </c>
      <c r="F41" s="2">
        <f>ecommerce_store_dataset[[#This Row],[price]]*ecommerce_store_dataset[[#This Row],[qty]]</f>
        <v>3217.0499999999997</v>
      </c>
      <c r="G41" s="1">
        <v>45880</v>
      </c>
      <c r="H41" s="1">
        <v>45884</v>
      </c>
      <c r="I41" s="1" t="str">
        <f>TEXT(ecommerce_store_dataset[[#This Row],[Delivery_date]],"mmm")</f>
        <v>Aug</v>
      </c>
      <c r="J41" t="s">
        <v>82</v>
      </c>
      <c r="K41" t="s">
        <v>29</v>
      </c>
      <c r="L41" t="s">
        <v>23</v>
      </c>
      <c r="M41" t="s">
        <v>106</v>
      </c>
      <c r="N41">
        <v>25</v>
      </c>
    </row>
    <row r="42" spans="1:14" x14ac:dyDescent="0.25">
      <c r="A42" t="s">
        <v>107</v>
      </c>
      <c r="B42" t="s">
        <v>86</v>
      </c>
      <c r="C42" t="s">
        <v>68</v>
      </c>
      <c r="D42" s="2">
        <v>192.56</v>
      </c>
      <c r="E42">
        <v>1</v>
      </c>
      <c r="F42" s="2">
        <f>ecommerce_store_dataset[[#This Row],[price]]*ecommerce_store_dataset[[#This Row],[qty]]</f>
        <v>192.56</v>
      </c>
      <c r="G42" s="1">
        <v>46020</v>
      </c>
      <c r="H42" s="1">
        <v>46025</v>
      </c>
      <c r="I42" s="1" t="str">
        <f>TEXT(ecommerce_store_dataset[[#This Row],[Delivery_date]],"mmm")</f>
        <v>Jan</v>
      </c>
      <c r="J42" t="s">
        <v>15</v>
      </c>
      <c r="K42" t="s">
        <v>16</v>
      </c>
      <c r="L42" t="s">
        <v>23</v>
      </c>
      <c r="M42" t="s">
        <v>18</v>
      </c>
      <c r="N42">
        <v>65</v>
      </c>
    </row>
    <row r="43" spans="1:14" x14ac:dyDescent="0.25">
      <c r="A43" t="s">
        <v>108</v>
      </c>
      <c r="B43" t="s">
        <v>95</v>
      </c>
      <c r="C43" t="s">
        <v>53</v>
      </c>
      <c r="D43" s="2">
        <v>2219.5</v>
      </c>
      <c r="E43">
        <v>3</v>
      </c>
      <c r="F43" s="2">
        <f>ecommerce_store_dataset[[#This Row],[price]]*ecommerce_store_dataset[[#This Row],[qty]]</f>
        <v>6658.5</v>
      </c>
      <c r="G43" s="1">
        <v>45977</v>
      </c>
      <c r="H43" s="1">
        <v>45981</v>
      </c>
      <c r="I43" s="1" t="str">
        <f>TEXT(ecommerce_store_dataset[[#This Row],[Delivery_date]],"mmm")</f>
        <v>Nov</v>
      </c>
      <c r="J43" t="s">
        <v>109</v>
      </c>
      <c r="K43" t="s">
        <v>16</v>
      </c>
      <c r="L43" t="s">
        <v>23</v>
      </c>
      <c r="M43" t="s">
        <v>24</v>
      </c>
      <c r="N43">
        <v>44</v>
      </c>
    </row>
    <row r="44" spans="1:14" x14ac:dyDescent="0.25">
      <c r="A44" t="s">
        <v>110</v>
      </c>
      <c r="B44" t="s">
        <v>111</v>
      </c>
      <c r="C44" t="s">
        <v>27</v>
      </c>
      <c r="D44" s="2">
        <v>10912.31</v>
      </c>
      <c r="E44">
        <v>5</v>
      </c>
      <c r="F44" s="2">
        <f>ecommerce_store_dataset[[#This Row],[price]]*ecommerce_store_dataset[[#This Row],[qty]]</f>
        <v>54561.549999999996</v>
      </c>
      <c r="G44" s="1">
        <v>45723</v>
      </c>
      <c r="H44" s="1">
        <v>45726</v>
      </c>
      <c r="I44" s="1" t="str">
        <f>TEXT(ecommerce_store_dataset[[#This Row],[Delivery_date]],"mmm")</f>
        <v>Mar</v>
      </c>
      <c r="J44" t="s">
        <v>49</v>
      </c>
      <c r="K44" t="s">
        <v>50</v>
      </c>
      <c r="L44" t="s">
        <v>30</v>
      </c>
      <c r="M44" t="s">
        <v>18</v>
      </c>
      <c r="N44">
        <v>37</v>
      </c>
    </row>
    <row r="45" spans="1:14" x14ac:dyDescent="0.25">
      <c r="A45" t="s">
        <v>112</v>
      </c>
      <c r="B45" t="s">
        <v>86</v>
      </c>
      <c r="C45" t="s">
        <v>68</v>
      </c>
      <c r="D45" s="2">
        <v>675.29</v>
      </c>
      <c r="E45">
        <v>3</v>
      </c>
      <c r="F45" s="2">
        <f>ecommerce_store_dataset[[#This Row],[price]]*ecommerce_store_dataset[[#This Row],[qty]]</f>
        <v>2025.87</v>
      </c>
      <c r="G45" s="1">
        <v>45804</v>
      </c>
      <c r="H45" s="1">
        <v>45807</v>
      </c>
      <c r="I45" s="1" t="str">
        <f>TEXT(ecommerce_store_dataset[[#This Row],[Delivery_date]],"mmm")</f>
        <v>May</v>
      </c>
      <c r="J45" t="s">
        <v>65</v>
      </c>
      <c r="K45" t="s">
        <v>50</v>
      </c>
      <c r="L45" t="s">
        <v>23</v>
      </c>
      <c r="M45" t="s">
        <v>18</v>
      </c>
      <c r="N45">
        <v>47</v>
      </c>
    </row>
    <row r="46" spans="1:14" x14ac:dyDescent="0.25">
      <c r="A46" t="s">
        <v>113</v>
      </c>
      <c r="B46" t="s">
        <v>114</v>
      </c>
      <c r="C46" t="s">
        <v>68</v>
      </c>
      <c r="D46" s="2">
        <v>556.72</v>
      </c>
      <c r="E46">
        <v>5</v>
      </c>
      <c r="F46" s="2">
        <f>ecommerce_store_dataset[[#This Row],[price]]*ecommerce_store_dataset[[#This Row],[qty]]</f>
        <v>2783.6000000000004</v>
      </c>
      <c r="G46" s="1">
        <v>45900</v>
      </c>
      <c r="H46" s="1">
        <v>45907</v>
      </c>
      <c r="I46" s="1" t="str">
        <f>TEXT(ecommerce_store_dataset[[#This Row],[Delivery_date]],"mmm")</f>
        <v>Sep</v>
      </c>
      <c r="J46" t="s">
        <v>36</v>
      </c>
      <c r="K46" t="s">
        <v>37</v>
      </c>
      <c r="L46" t="s">
        <v>41</v>
      </c>
      <c r="M46" t="s">
        <v>18</v>
      </c>
      <c r="N46">
        <v>58</v>
      </c>
    </row>
    <row r="47" spans="1:14" x14ac:dyDescent="0.25">
      <c r="A47" t="s">
        <v>115</v>
      </c>
      <c r="B47" t="s">
        <v>48</v>
      </c>
      <c r="C47" t="s">
        <v>27</v>
      </c>
      <c r="D47" s="2">
        <v>12548.72</v>
      </c>
      <c r="E47">
        <v>2</v>
      </c>
      <c r="F47" s="2">
        <f>ecommerce_store_dataset[[#This Row],[price]]*ecommerce_store_dataset[[#This Row],[qty]]</f>
        <v>25097.439999999999</v>
      </c>
      <c r="G47" s="1">
        <v>46002</v>
      </c>
      <c r="H47" s="1">
        <v>46006</v>
      </c>
      <c r="I47" s="1" t="str">
        <f>TEXT(ecommerce_store_dataset[[#This Row],[Delivery_date]],"mmm")</f>
        <v>Dec</v>
      </c>
      <c r="J47" t="s">
        <v>116</v>
      </c>
      <c r="K47" t="s">
        <v>37</v>
      </c>
      <c r="L47" t="s">
        <v>30</v>
      </c>
      <c r="M47" t="s">
        <v>24</v>
      </c>
      <c r="N47">
        <v>33</v>
      </c>
    </row>
    <row r="48" spans="1:14" x14ac:dyDescent="0.25">
      <c r="A48" t="s">
        <v>117</v>
      </c>
      <c r="B48" t="s">
        <v>86</v>
      </c>
      <c r="C48" t="s">
        <v>68</v>
      </c>
      <c r="D48" s="2">
        <v>687.3</v>
      </c>
      <c r="E48">
        <v>1</v>
      </c>
      <c r="F48" s="2">
        <f>ecommerce_store_dataset[[#This Row],[price]]*ecommerce_store_dataset[[#This Row],[qty]]</f>
        <v>687.3</v>
      </c>
      <c r="G48" s="1">
        <v>45891</v>
      </c>
      <c r="H48" s="1">
        <v>45896</v>
      </c>
      <c r="I48" s="1" t="str">
        <f>TEXT(ecommerce_store_dataset[[#This Row],[Delivery_date]],"mmm")</f>
        <v>Aug</v>
      </c>
      <c r="J48" t="s">
        <v>21</v>
      </c>
      <c r="K48" t="s">
        <v>22</v>
      </c>
      <c r="L48" t="s">
        <v>33</v>
      </c>
      <c r="M48" t="s">
        <v>18</v>
      </c>
      <c r="N48">
        <v>33</v>
      </c>
    </row>
    <row r="49" spans="1:14" x14ac:dyDescent="0.25">
      <c r="A49" t="s">
        <v>118</v>
      </c>
      <c r="B49" t="s">
        <v>119</v>
      </c>
      <c r="C49" t="s">
        <v>53</v>
      </c>
      <c r="D49" s="2">
        <v>4069.57</v>
      </c>
      <c r="E49">
        <v>1</v>
      </c>
      <c r="F49" s="2">
        <f>ecommerce_store_dataset[[#This Row],[price]]*ecommerce_store_dataset[[#This Row],[qty]]</f>
        <v>4069.57</v>
      </c>
      <c r="G49" s="1">
        <v>45875</v>
      </c>
      <c r="H49" s="1">
        <v>45878</v>
      </c>
      <c r="I49" s="1" t="str">
        <f>TEXT(ecommerce_store_dataset[[#This Row],[Delivery_date]],"mmm")</f>
        <v>Aug</v>
      </c>
      <c r="J49" t="s">
        <v>44</v>
      </c>
      <c r="K49" t="s">
        <v>37</v>
      </c>
      <c r="L49" t="s">
        <v>33</v>
      </c>
      <c r="M49" t="s">
        <v>24</v>
      </c>
      <c r="N49">
        <v>33</v>
      </c>
    </row>
    <row r="50" spans="1:14" x14ac:dyDescent="0.25">
      <c r="A50" t="s">
        <v>120</v>
      </c>
      <c r="B50" t="s">
        <v>64</v>
      </c>
      <c r="C50" t="s">
        <v>14</v>
      </c>
      <c r="D50" s="2">
        <v>550.01</v>
      </c>
      <c r="E50">
        <v>4</v>
      </c>
      <c r="F50" s="2">
        <f>ecommerce_store_dataset[[#This Row],[price]]*ecommerce_store_dataset[[#This Row],[qty]]</f>
        <v>2200.04</v>
      </c>
      <c r="G50" s="1">
        <v>45999</v>
      </c>
      <c r="H50" s="1">
        <v>46005</v>
      </c>
      <c r="I50" s="1" t="str">
        <f>TEXT(ecommerce_store_dataset[[#This Row],[Delivery_date]],"mmm")</f>
        <v>Dec</v>
      </c>
      <c r="J50" t="s">
        <v>121</v>
      </c>
      <c r="K50" t="s">
        <v>22</v>
      </c>
      <c r="L50" t="s">
        <v>41</v>
      </c>
      <c r="M50" t="s">
        <v>18</v>
      </c>
      <c r="N50">
        <v>46</v>
      </c>
    </row>
    <row r="51" spans="1:14" x14ac:dyDescent="0.25">
      <c r="A51" t="s">
        <v>122</v>
      </c>
      <c r="B51" t="s">
        <v>76</v>
      </c>
      <c r="C51" t="s">
        <v>68</v>
      </c>
      <c r="D51" s="2">
        <v>730.14</v>
      </c>
      <c r="E51">
        <v>4</v>
      </c>
      <c r="F51" s="2">
        <f>ecommerce_store_dataset[[#This Row],[price]]*ecommerce_store_dataset[[#This Row],[qty]]</f>
        <v>2920.56</v>
      </c>
      <c r="G51" s="1">
        <v>45739</v>
      </c>
      <c r="H51" s="1">
        <v>45746</v>
      </c>
      <c r="I51" s="1" t="str">
        <f>TEXT(ecommerce_store_dataset[[#This Row],[Delivery_date]],"mmm")</f>
        <v>Mar</v>
      </c>
      <c r="J51" t="s">
        <v>49</v>
      </c>
      <c r="K51" t="s">
        <v>50</v>
      </c>
      <c r="L51" t="s">
        <v>41</v>
      </c>
      <c r="M51" t="s">
        <v>18</v>
      </c>
      <c r="N51">
        <v>58</v>
      </c>
    </row>
    <row r="52" spans="1:14" x14ac:dyDescent="0.25">
      <c r="A52" t="s">
        <v>123</v>
      </c>
      <c r="B52" t="s">
        <v>26</v>
      </c>
      <c r="C52" t="s">
        <v>27</v>
      </c>
      <c r="D52" s="2">
        <v>11998.61</v>
      </c>
      <c r="E52">
        <v>4</v>
      </c>
      <c r="F52" s="2">
        <f>ecommerce_store_dataset[[#This Row],[price]]*ecommerce_store_dataset[[#This Row],[qty]]</f>
        <v>47994.44</v>
      </c>
      <c r="G52" s="1">
        <v>45978</v>
      </c>
      <c r="H52" s="1">
        <v>45981</v>
      </c>
      <c r="I52" s="1" t="str">
        <f>TEXT(ecommerce_store_dataset[[#This Row],[Delivery_date]],"mmm")</f>
        <v>Nov</v>
      </c>
      <c r="J52" t="s">
        <v>82</v>
      </c>
      <c r="K52" t="s">
        <v>29</v>
      </c>
      <c r="L52" t="s">
        <v>17</v>
      </c>
      <c r="M52" t="s">
        <v>18</v>
      </c>
      <c r="N52">
        <v>33</v>
      </c>
    </row>
    <row r="53" spans="1:14" x14ac:dyDescent="0.25">
      <c r="A53" t="s">
        <v>124</v>
      </c>
      <c r="B53" t="s">
        <v>89</v>
      </c>
      <c r="C53" t="s">
        <v>27</v>
      </c>
      <c r="D53" s="2">
        <v>5816.08</v>
      </c>
      <c r="E53">
        <v>5</v>
      </c>
      <c r="F53" s="2">
        <f>ecommerce_store_dataset[[#This Row],[price]]*ecommerce_store_dataset[[#This Row],[qty]]</f>
        <v>29080.400000000001</v>
      </c>
      <c r="G53" s="1">
        <v>45699</v>
      </c>
      <c r="H53" s="1">
        <v>45702</v>
      </c>
      <c r="I53" s="1" t="str">
        <f>TEXT(ecommerce_store_dataset[[#This Row],[Delivery_date]],"mmm")</f>
        <v>Feb</v>
      </c>
      <c r="J53" t="s">
        <v>116</v>
      </c>
      <c r="K53" t="s">
        <v>37</v>
      </c>
      <c r="L53" t="s">
        <v>33</v>
      </c>
      <c r="M53" t="s">
        <v>18</v>
      </c>
      <c r="N53">
        <v>63</v>
      </c>
    </row>
    <row r="54" spans="1:14" x14ac:dyDescent="0.25">
      <c r="A54" t="s">
        <v>125</v>
      </c>
      <c r="B54" t="s">
        <v>126</v>
      </c>
      <c r="C54" t="s">
        <v>53</v>
      </c>
      <c r="D54" s="2">
        <v>2153.62</v>
      </c>
      <c r="E54">
        <v>3</v>
      </c>
      <c r="F54" s="2">
        <f>ecommerce_store_dataset[[#This Row],[price]]*ecommerce_store_dataset[[#This Row],[qty]]</f>
        <v>6460.86</v>
      </c>
      <c r="G54" s="1">
        <v>45935</v>
      </c>
      <c r="H54" s="1">
        <v>45940</v>
      </c>
      <c r="I54" s="1" t="str">
        <f>TEXT(ecommerce_store_dataset[[#This Row],[Delivery_date]],"mmm")</f>
        <v>Oct</v>
      </c>
      <c r="J54" t="s">
        <v>127</v>
      </c>
      <c r="K54" t="s">
        <v>50</v>
      </c>
      <c r="L54" t="s">
        <v>30</v>
      </c>
      <c r="M54" t="s">
        <v>18</v>
      </c>
      <c r="N54">
        <v>42</v>
      </c>
    </row>
    <row r="55" spans="1:14" x14ac:dyDescent="0.25">
      <c r="A55" t="s">
        <v>128</v>
      </c>
      <c r="B55" t="s">
        <v>129</v>
      </c>
      <c r="C55" t="s">
        <v>14</v>
      </c>
      <c r="D55" s="2">
        <v>1323.2</v>
      </c>
      <c r="E55">
        <v>3</v>
      </c>
      <c r="F55" s="2">
        <f>ecommerce_store_dataset[[#This Row],[price]]*ecommerce_store_dataset[[#This Row],[qty]]</f>
        <v>3969.6000000000004</v>
      </c>
      <c r="G55" s="1">
        <v>45810</v>
      </c>
      <c r="H55" s="1">
        <v>45815</v>
      </c>
      <c r="I55" s="1" t="str">
        <f>TEXT(ecommerce_store_dataset[[#This Row],[Delivery_date]],"mmm")</f>
        <v>Jun</v>
      </c>
      <c r="J55" t="s">
        <v>65</v>
      </c>
      <c r="K55" t="s">
        <v>50</v>
      </c>
      <c r="L55" t="s">
        <v>23</v>
      </c>
      <c r="M55" t="s">
        <v>18</v>
      </c>
      <c r="N55">
        <v>32</v>
      </c>
    </row>
    <row r="56" spans="1:14" x14ac:dyDescent="0.25">
      <c r="A56" t="s">
        <v>130</v>
      </c>
      <c r="B56" t="s">
        <v>67</v>
      </c>
      <c r="C56" t="s">
        <v>68</v>
      </c>
      <c r="D56" s="2">
        <v>254.7</v>
      </c>
      <c r="E56">
        <v>4</v>
      </c>
      <c r="F56" s="2">
        <f>ecommerce_store_dataset[[#This Row],[price]]*ecommerce_store_dataset[[#This Row],[qty]]</f>
        <v>1018.8</v>
      </c>
      <c r="G56" s="1">
        <v>45672</v>
      </c>
      <c r="H56" s="1">
        <v>45677</v>
      </c>
      <c r="I56" s="1" t="str">
        <f>TEXT(ecommerce_store_dataset[[#This Row],[Delivery_date]],"mmm")</f>
        <v>Jan</v>
      </c>
      <c r="J56" t="s">
        <v>82</v>
      </c>
      <c r="K56" t="s">
        <v>29</v>
      </c>
      <c r="L56" t="s">
        <v>30</v>
      </c>
      <c r="M56" t="s">
        <v>18</v>
      </c>
      <c r="N56">
        <v>26</v>
      </c>
    </row>
    <row r="57" spans="1:14" x14ac:dyDescent="0.25">
      <c r="A57" t="s">
        <v>131</v>
      </c>
      <c r="B57" t="s">
        <v>129</v>
      </c>
      <c r="C57" t="s">
        <v>14</v>
      </c>
      <c r="D57" s="2">
        <v>1581.76</v>
      </c>
      <c r="E57">
        <v>1</v>
      </c>
      <c r="F57" s="2">
        <f>ecommerce_store_dataset[[#This Row],[price]]*ecommerce_store_dataset[[#This Row],[qty]]</f>
        <v>1581.76</v>
      </c>
      <c r="G57" s="1">
        <v>45700</v>
      </c>
      <c r="H57" s="1">
        <v>45707</v>
      </c>
      <c r="I57" s="1" t="str">
        <f>TEXT(ecommerce_store_dataset[[#This Row],[Delivery_date]],"mmm")</f>
        <v>Feb</v>
      </c>
      <c r="J57" t="s">
        <v>90</v>
      </c>
      <c r="K57" t="s">
        <v>50</v>
      </c>
      <c r="L57" t="s">
        <v>33</v>
      </c>
      <c r="M57" t="s">
        <v>24</v>
      </c>
      <c r="N57">
        <v>34</v>
      </c>
    </row>
    <row r="58" spans="1:14" x14ac:dyDescent="0.25">
      <c r="A58" t="s">
        <v>132</v>
      </c>
      <c r="B58" t="s">
        <v>133</v>
      </c>
      <c r="C58" t="s">
        <v>68</v>
      </c>
      <c r="D58" s="2">
        <v>208.75</v>
      </c>
      <c r="E58">
        <v>3</v>
      </c>
      <c r="F58" s="2">
        <f>ecommerce_store_dataset[[#This Row],[price]]*ecommerce_store_dataset[[#This Row],[qty]]</f>
        <v>626.25</v>
      </c>
      <c r="G58" s="1">
        <v>45830</v>
      </c>
      <c r="H58" s="1">
        <v>45835</v>
      </c>
      <c r="I58" s="1" t="str">
        <f>TEXT(ecommerce_store_dataset[[#This Row],[Delivery_date]],"mmm")</f>
        <v>Jun</v>
      </c>
      <c r="J58" t="s">
        <v>82</v>
      </c>
      <c r="K58" t="s">
        <v>29</v>
      </c>
      <c r="L58" t="s">
        <v>41</v>
      </c>
      <c r="M58" t="s">
        <v>18</v>
      </c>
      <c r="N58">
        <v>48</v>
      </c>
    </row>
    <row r="59" spans="1:14" x14ac:dyDescent="0.25">
      <c r="A59" t="s">
        <v>134</v>
      </c>
      <c r="B59" t="s">
        <v>13</v>
      </c>
      <c r="C59" t="s">
        <v>14</v>
      </c>
      <c r="D59" s="2">
        <v>2499.79</v>
      </c>
      <c r="E59">
        <v>3</v>
      </c>
      <c r="F59" s="2">
        <f>ecommerce_store_dataset[[#This Row],[price]]*ecommerce_store_dataset[[#This Row],[qty]]</f>
        <v>7499.37</v>
      </c>
      <c r="G59" s="1">
        <v>45772</v>
      </c>
      <c r="H59" s="1">
        <v>45779</v>
      </c>
      <c r="I59" s="1" t="str">
        <f>TEXT(ecommerce_store_dataset[[#This Row],[Delivery_date]],"mmm")</f>
        <v>May</v>
      </c>
      <c r="J59" t="s">
        <v>74</v>
      </c>
      <c r="K59" t="s">
        <v>16</v>
      </c>
      <c r="L59" t="s">
        <v>17</v>
      </c>
      <c r="M59" t="s">
        <v>18</v>
      </c>
      <c r="N59">
        <v>30</v>
      </c>
    </row>
    <row r="60" spans="1:14" x14ac:dyDescent="0.25">
      <c r="A60" t="s">
        <v>135</v>
      </c>
      <c r="B60" t="s">
        <v>136</v>
      </c>
      <c r="C60" t="s">
        <v>14</v>
      </c>
      <c r="D60" s="2">
        <v>786.73</v>
      </c>
      <c r="E60">
        <v>4</v>
      </c>
      <c r="F60" s="2">
        <f>ecommerce_store_dataset[[#This Row],[price]]*ecommerce_store_dataset[[#This Row],[qty]]</f>
        <v>3146.92</v>
      </c>
      <c r="G60" s="1">
        <v>46000</v>
      </c>
      <c r="H60" s="1">
        <v>46002</v>
      </c>
      <c r="I60" s="1" t="str">
        <f>TEXT(ecommerce_store_dataset[[#This Row],[Delivery_date]],"mmm")</f>
        <v>Dec</v>
      </c>
      <c r="J60" t="s">
        <v>21</v>
      </c>
      <c r="K60" t="s">
        <v>22</v>
      </c>
      <c r="L60" t="s">
        <v>33</v>
      </c>
      <c r="M60" t="s">
        <v>18</v>
      </c>
      <c r="N60">
        <v>41</v>
      </c>
    </row>
    <row r="61" spans="1:14" x14ac:dyDescent="0.25">
      <c r="A61" t="s">
        <v>137</v>
      </c>
      <c r="B61" t="s">
        <v>126</v>
      </c>
      <c r="C61" t="s">
        <v>53</v>
      </c>
      <c r="D61" s="2">
        <v>3608.95</v>
      </c>
      <c r="E61">
        <v>2</v>
      </c>
      <c r="F61" s="2">
        <f>ecommerce_store_dataset[[#This Row],[price]]*ecommerce_store_dataset[[#This Row],[qty]]</f>
        <v>7217.9</v>
      </c>
      <c r="G61" s="1">
        <v>45817</v>
      </c>
      <c r="H61" s="1">
        <v>45819</v>
      </c>
      <c r="I61" s="1" t="str">
        <f>TEXT(ecommerce_store_dataset[[#This Row],[Delivery_date]],"mmm")</f>
        <v>Jun</v>
      </c>
      <c r="J61" t="s">
        <v>55</v>
      </c>
      <c r="K61" t="s">
        <v>22</v>
      </c>
      <c r="L61" t="s">
        <v>41</v>
      </c>
      <c r="M61" t="s">
        <v>18</v>
      </c>
      <c r="N61">
        <v>42</v>
      </c>
    </row>
    <row r="62" spans="1:14" x14ac:dyDescent="0.25">
      <c r="A62" t="s">
        <v>138</v>
      </c>
      <c r="B62" t="s">
        <v>139</v>
      </c>
      <c r="C62" t="s">
        <v>68</v>
      </c>
      <c r="D62" s="2">
        <v>198.75</v>
      </c>
      <c r="E62">
        <v>5</v>
      </c>
      <c r="F62" s="2">
        <f>ecommerce_store_dataset[[#This Row],[price]]*ecommerce_store_dataset[[#This Row],[qty]]</f>
        <v>993.75</v>
      </c>
      <c r="G62" s="1">
        <v>46011</v>
      </c>
      <c r="H62" s="1">
        <v>46018</v>
      </c>
      <c r="I62" s="1" t="str">
        <f>TEXT(ecommerce_store_dataset[[#This Row],[Delivery_date]],"mmm")</f>
        <v>Dec</v>
      </c>
      <c r="J62" t="s">
        <v>36</v>
      </c>
      <c r="K62" t="s">
        <v>37</v>
      </c>
      <c r="L62" t="s">
        <v>41</v>
      </c>
      <c r="M62" t="s">
        <v>18</v>
      </c>
      <c r="N62">
        <v>56</v>
      </c>
    </row>
    <row r="63" spans="1:14" x14ac:dyDescent="0.25">
      <c r="A63" t="s">
        <v>140</v>
      </c>
      <c r="B63" t="s">
        <v>13</v>
      </c>
      <c r="C63" t="s">
        <v>14</v>
      </c>
      <c r="D63" s="2">
        <v>1031.21</v>
      </c>
      <c r="E63">
        <v>4</v>
      </c>
      <c r="F63" s="2">
        <f>ecommerce_store_dataset[[#This Row],[price]]*ecommerce_store_dataset[[#This Row],[qty]]</f>
        <v>4124.84</v>
      </c>
      <c r="G63" s="1">
        <v>45996</v>
      </c>
      <c r="H63" s="1">
        <v>46000</v>
      </c>
      <c r="I63" s="1" t="str">
        <f>TEXT(ecommerce_store_dataset[[#This Row],[Delivery_date]],"mmm")</f>
        <v>Dec</v>
      </c>
      <c r="J63" t="s">
        <v>15</v>
      </c>
      <c r="K63" t="s">
        <v>16</v>
      </c>
      <c r="L63" t="s">
        <v>41</v>
      </c>
      <c r="M63" t="s">
        <v>24</v>
      </c>
      <c r="N63">
        <v>44</v>
      </c>
    </row>
    <row r="64" spans="1:14" x14ac:dyDescent="0.25">
      <c r="A64" t="s">
        <v>141</v>
      </c>
      <c r="B64" t="s">
        <v>142</v>
      </c>
      <c r="C64" t="s">
        <v>68</v>
      </c>
      <c r="D64" s="2">
        <v>375.14</v>
      </c>
      <c r="E64">
        <v>3</v>
      </c>
      <c r="F64" s="2">
        <f>ecommerce_store_dataset[[#This Row],[price]]*ecommerce_store_dataset[[#This Row],[qty]]</f>
        <v>1125.42</v>
      </c>
      <c r="G64" s="1">
        <v>45983</v>
      </c>
      <c r="H64" s="1">
        <v>45988</v>
      </c>
      <c r="I64" s="1" t="str">
        <f>TEXT(ecommerce_store_dataset[[#This Row],[Delivery_date]],"mmm")</f>
        <v>Nov</v>
      </c>
      <c r="J64" t="s">
        <v>97</v>
      </c>
      <c r="K64" t="s">
        <v>37</v>
      </c>
      <c r="L64" t="s">
        <v>30</v>
      </c>
      <c r="M64" t="s">
        <v>18</v>
      </c>
      <c r="N64">
        <v>59</v>
      </c>
    </row>
    <row r="65" spans="1:14" x14ac:dyDescent="0.25">
      <c r="A65" t="s">
        <v>143</v>
      </c>
      <c r="B65" t="s">
        <v>57</v>
      </c>
      <c r="C65" t="s">
        <v>27</v>
      </c>
      <c r="D65" s="2">
        <v>12410.69</v>
      </c>
      <c r="E65">
        <v>5</v>
      </c>
      <c r="F65" s="2">
        <f>ecommerce_store_dataset[[#This Row],[price]]*ecommerce_store_dataset[[#This Row],[qty]]</f>
        <v>62053.450000000004</v>
      </c>
      <c r="G65" s="1">
        <v>45905</v>
      </c>
      <c r="H65" s="1">
        <v>45910</v>
      </c>
      <c r="I65" s="1" t="str">
        <f>TEXT(ecommerce_store_dataset[[#This Row],[Delivery_date]],"mmm")</f>
        <v>Sep</v>
      </c>
      <c r="J65" t="s">
        <v>65</v>
      </c>
      <c r="K65" t="s">
        <v>50</v>
      </c>
      <c r="L65" t="s">
        <v>41</v>
      </c>
      <c r="M65" t="s">
        <v>24</v>
      </c>
      <c r="N65">
        <v>33</v>
      </c>
    </row>
    <row r="66" spans="1:14" x14ac:dyDescent="0.25">
      <c r="A66" t="s">
        <v>144</v>
      </c>
      <c r="B66" t="s">
        <v>35</v>
      </c>
      <c r="C66" t="s">
        <v>14</v>
      </c>
      <c r="D66" s="2">
        <v>2233.67</v>
      </c>
      <c r="E66">
        <v>2</v>
      </c>
      <c r="F66" s="2">
        <f>ecommerce_store_dataset[[#This Row],[price]]*ecommerce_store_dataset[[#This Row],[qty]]</f>
        <v>4467.34</v>
      </c>
      <c r="G66" s="1">
        <v>45895</v>
      </c>
      <c r="H66" s="1">
        <v>45901</v>
      </c>
      <c r="I66" s="1" t="str">
        <f>TEXT(ecommerce_store_dataset[[#This Row],[Delivery_date]],"mmm")</f>
        <v>Sep</v>
      </c>
      <c r="J66" t="s">
        <v>145</v>
      </c>
      <c r="K66" t="s">
        <v>22</v>
      </c>
      <c r="L66" t="s">
        <v>41</v>
      </c>
      <c r="M66" t="s">
        <v>24</v>
      </c>
      <c r="N66">
        <v>38</v>
      </c>
    </row>
    <row r="67" spans="1:14" x14ac:dyDescent="0.25">
      <c r="A67" t="s">
        <v>146</v>
      </c>
      <c r="B67" t="s">
        <v>73</v>
      </c>
      <c r="C67" t="s">
        <v>53</v>
      </c>
      <c r="D67" s="2">
        <v>1340.6</v>
      </c>
      <c r="E67">
        <v>3</v>
      </c>
      <c r="F67" s="2">
        <f>ecommerce_store_dataset[[#This Row],[price]]*ecommerce_store_dataset[[#This Row],[qty]]</f>
        <v>4021.7999999999997</v>
      </c>
      <c r="G67" s="1">
        <v>45832</v>
      </c>
      <c r="H67" s="1">
        <v>45836</v>
      </c>
      <c r="I67" s="1" t="str">
        <f>TEXT(ecommerce_store_dataset[[#This Row],[Delivery_date]],"mmm")</f>
        <v>Jun</v>
      </c>
      <c r="J67" t="s">
        <v>147</v>
      </c>
      <c r="K67" t="s">
        <v>22</v>
      </c>
      <c r="L67" t="s">
        <v>23</v>
      </c>
      <c r="M67" t="s">
        <v>24</v>
      </c>
      <c r="N67">
        <v>30</v>
      </c>
    </row>
    <row r="68" spans="1:14" x14ac:dyDescent="0.25">
      <c r="A68" t="s">
        <v>148</v>
      </c>
      <c r="B68" t="s">
        <v>39</v>
      </c>
      <c r="C68" t="s">
        <v>14</v>
      </c>
      <c r="D68" s="2">
        <v>1870.17</v>
      </c>
      <c r="E68">
        <v>4</v>
      </c>
      <c r="F68" s="2">
        <f>ecommerce_store_dataset[[#This Row],[price]]*ecommerce_store_dataset[[#This Row],[qty]]</f>
        <v>7480.68</v>
      </c>
      <c r="G68" s="1">
        <v>45942</v>
      </c>
      <c r="H68" s="1">
        <v>45945</v>
      </c>
      <c r="I68" s="1" t="str">
        <f>TEXT(ecommerce_store_dataset[[#This Row],[Delivery_date]],"mmm")</f>
        <v>Oct</v>
      </c>
      <c r="J68" t="s">
        <v>49</v>
      </c>
      <c r="K68" t="s">
        <v>50</v>
      </c>
      <c r="L68" t="s">
        <v>33</v>
      </c>
      <c r="M68" t="s">
        <v>18</v>
      </c>
      <c r="N68">
        <v>23</v>
      </c>
    </row>
    <row r="69" spans="1:14" x14ac:dyDescent="0.25">
      <c r="A69" t="s">
        <v>149</v>
      </c>
      <c r="B69" t="s">
        <v>150</v>
      </c>
      <c r="C69" t="s">
        <v>27</v>
      </c>
      <c r="D69" s="2">
        <v>6959.42</v>
      </c>
      <c r="E69">
        <v>2</v>
      </c>
      <c r="F69" s="2">
        <f>ecommerce_store_dataset[[#This Row],[price]]*ecommerce_store_dataset[[#This Row],[qty]]</f>
        <v>13918.84</v>
      </c>
      <c r="G69" s="1">
        <v>45814</v>
      </c>
      <c r="H69" s="1">
        <v>45821</v>
      </c>
      <c r="I69" s="1" t="str">
        <f>TEXT(ecommerce_store_dataset[[#This Row],[Delivery_date]],"mmm")</f>
        <v>Jun</v>
      </c>
      <c r="J69" t="s">
        <v>147</v>
      </c>
      <c r="K69" t="s">
        <v>22</v>
      </c>
      <c r="L69" t="s">
        <v>33</v>
      </c>
      <c r="M69" t="s">
        <v>18</v>
      </c>
      <c r="N69">
        <v>40</v>
      </c>
    </row>
    <row r="70" spans="1:14" x14ac:dyDescent="0.25">
      <c r="A70" t="s">
        <v>151</v>
      </c>
      <c r="B70" t="s">
        <v>139</v>
      </c>
      <c r="C70" t="s">
        <v>68</v>
      </c>
      <c r="D70" s="2">
        <v>462.79</v>
      </c>
      <c r="E70">
        <v>3</v>
      </c>
      <c r="F70" s="2">
        <f>ecommerce_store_dataset[[#This Row],[price]]*ecommerce_store_dataset[[#This Row],[qty]]</f>
        <v>1388.3700000000001</v>
      </c>
      <c r="G70" s="1">
        <v>46017</v>
      </c>
      <c r="H70" s="1">
        <v>46022</v>
      </c>
      <c r="I70" s="1" t="str">
        <f>TEXT(ecommerce_store_dataset[[#This Row],[Delivery_date]],"mmm")</f>
        <v>Dec</v>
      </c>
      <c r="J70" t="s">
        <v>28</v>
      </c>
      <c r="K70" t="s">
        <v>29</v>
      </c>
      <c r="L70" t="s">
        <v>41</v>
      </c>
      <c r="M70" t="s">
        <v>24</v>
      </c>
      <c r="N70">
        <v>64</v>
      </c>
    </row>
    <row r="71" spans="1:14" x14ac:dyDescent="0.25">
      <c r="A71" t="s">
        <v>152</v>
      </c>
      <c r="B71" t="s">
        <v>95</v>
      </c>
      <c r="C71" t="s">
        <v>53</v>
      </c>
      <c r="D71" s="2">
        <v>969.41</v>
      </c>
      <c r="E71">
        <v>5</v>
      </c>
      <c r="F71" s="2">
        <f>ecommerce_store_dataset[[#This Row],[price]]*ecommerce_store_dataset[[#This Row],[qty]]</f>
        <v>4847.05</v>
      </c>
      <c r="G71" s="1">
        <v>46011</v>
      </c>
      <c r="H71" s="1">
        <v>46014</v>
      </c>
      <c r="I71" s="1" t="str">
        <f>TEXT(ecommerce_store_dataset[[#This Row],[Delivery_date]],"mmm")</f>
        <v>Dec</v>
      </c>
      <c r="J71" t="s">
        <v>116</v>
      </c>
      <c r="K71" t="s">
        <v>37</v>
      </c>
      <c r="L71" t="s">
        <v>33</v>
      </c>
      <c r="M71" t="s">
        <v>24</v>
      </c>
      <c r="N71">
        <v>55</v>
      </c>
    </row>
    <row r="72" spans="1:14" x14ac:dyDescent="0.25">
      <c r="A72" t="s">
        <v>153</v>
      </c>
      <c r="B72" t="s">
        <v>48</v>
      </c>
      <c r="C72" t="s">
        <v>27</v>
      </c>
      <c r="D72" s="2">
        <v>12740.48</v>
      </c>
      <c r="E72">
        <v>3</v>
      </c>
      <c r="F72" s="2">
        <f>ecommerce_store_dataset[[#This Row],[price]]*ecommerce_store_dataset[[#This Row],[qty]]</f>
        <v>38221.440000000002</v>
      </c>
      <c r="G72" s="1">
        <v>45774</v>
      </c>
      <c r="H72" s="1">
        <v>45778</v>
      </c>
      <c r="I72" s="1" t="str">
        <f>TEXT(ecommerce_store_dataset[[#This Row],[Delivery_date]],"mmm")</f>
        <v>May</v>
      </c>
      <c r="J72" t="s">
        <v>101</v>
      </c>
      <c r="K72" t="s">
        <v>37</v>
      </c>
      <c r="L72" t="s">
        <v>17</v>
      </c>
      <c r="M72" t="s">
        <v>18</v>
      </c>
      <c r="N72">
        <v>26</v>
      </c>
    </row>
    <row r="73" spans="1:14" x14ac:dyDescent="0.25">
      <c r="A73" t="s">
        <v>154</v>
      </c>
      <c r="B73" t="s">
        <v>48</v>
      </c>
      <c r="C73" t="s">
        <v>27</v>
      </c>
      <c r="D73" s="2">
        <v>14652.98</v>
      </c>
      <c r="E73">
        <v>5</v>
      </c>
      <c r="F73" s="2">
        <f>ecommerce_store_dataset[[#This Row],[price]]*ecommerce_store_dataset[[#This Row],[qty]]</f>
        <v>73264.899999999994</v>
      </c>
      <c r="G73" s="1">
        <v>45807</v>
      </c>
      <c r="H73" s="1">
        <v>45814</v>
      </c>
      <c r="I73" s="1" t="str">
        <f>TEXT(ecommerce_store_dataset[[#This Row],[Delivery_date]],"mmm")</f>
        <v>Jun</v>
      </c>
      <c r="J73" t="s">
        <v>97</v>
      </c>
      <c r="K73" t="s">
        <v>37</v>
      </c>
      <c r="L73" t="s">
        <v>17</v>
      </c>
      <c r="M73" t="s">
        <v>18</v>
      </c>
      <c r="N73">
        <v>54</v>
      </c>
    </row>
    <row r="74" spans="1:14" x14ac:dyDescent="0.25">
      <c r="A74" t="s">
        <v>155</v>
      </c>
      <c r="B74" t="s">
        <v>111</v>
      </c>
      <c r="C74" t="s">
        <v>27</v>
      </c>
      <c r="D74" s="2">
        <v>7962.64</v>
      </c>
      <c r="E74">
        <v>3</v>
      </c>
      <c r="F74" s="2">
        <f>ecommerce_store_dataset[[#This Row],[price]]*ecommerce_store_dataset[[#This Row],[qty]]</f>
        <v>23887.920000000002</v>
      </c>
      <c r="G74" s="1">
        <v>45752</v>
      </c>
      <c r="H74" s="1">
        <v>45754</v>
      </c>
      <c r="I74" s="1" t="str">
        <f>TEXT(ecommerce_store_dataset[[#This Row],[Delivery_date]],"mmm")</f>
        <v>Apr</v>
      </c>
      <c r="J74" t="s">
        <v>82</v>
      </c>
      <c r="K74" t="s">
        <v>29</v>
      </c>
      <c r="L74" t="s">
        <v>17</v>
      </c>
      <c r="M74" t="s">
        <v>18</v>
      </c>
      <c r="N74">
        <v>43</v>
      </c>
    </row>
    <row r="75" spans="1:14" x14ac:dyDescent="0.25">
      <c r="A75" t="s">
        <v>156</v>
      </c>
      <c r="B75" t="s">
        <v>142</v>
      </c>
      <c r="C75" t="s">
        <v>68</v>
      </c>
      <c r="D75" s="2">
        <v>482.77</v>
      </c>
      <c r="E75">
        <v>1</v>
      </c>
      <c r="F75" s="2">
        <f>ecommerce_store_dataset[[#This Row],[price]]*ecommerce_store_dataset[[#This Row],[qty]]</f>
        <v>482.77</v>
      </c>
      <c r="G75" s="1">
        <v>45735</v>
      </c>
      <c r="H75" s="1">
        <v>45738</v>
      </c>
      <c r="I75" s="1" t="str">
        <f>TEXT(ecommerce_store_dataset[[#This Row],[Delivery_date]],"mmm")</f>
        <v>Mar</v>
      </c>
      <c r="J75" t="s">
        <v>147</v>
      </c>
      <c r="K75" t="s">
        <v>22</v>
      </c>
      <c r="L75" t="s">
        <v>17</v>
      </c>
      <c r="M75" t="s">
        <v>106</v>
      </c>
      <c r="N75">
        <v>25</v>
      </c>
    </row>
    <row r="76" spans="1:14" x14ac:dyDescent="0.25">
      <c r="A76" t="s">
        <v>157</v>
      </c>
      <c r="B76" t="s">
        <v>86</v>
      </c>
      <c r="C76" t="s">
        <v>68</v>
      </c>
      <c r="D76" s="2">
        <v>497.1</v>
      </c>
      <c r="E76">
        <v>5</v>
      </c>
      <c r="F76" s="2">
        <f>ecommerce_store_dataset[[#This Row],[price]]*ecommerce_store_dataset[[#This Row],[qty]]</f>
        <v>2485.5</v>
      </c>
      <c r="G76" s="1">
        <v>45773</v>
      </c>
      <c r="H76" s="1">
        <v>45779</v>
      </c>
      <c r="I76" s="1" t="str">
        <f>TEXT(ecommerce_store_dataset[[#This Row],[Delivery_date]],"mmm")</f>
        <v>May</v>
      </c>
      <c r="J76" t="s">
        <v>49</v>
      </c>
      <c r="K76" t="s">
        <v>50</v>
      </c>
      <c r="L76" t="s">
        <v>33</v>
      </c>
      <c r="M76" t="s">
        <v>24</v>
      </c>
      <c r="N76">
        <v>55</v>
      </c>
    </row>
    <row r="77" spans="1:14" x14ac:dyDescent="0.25">
      <c r="A77" t="s">
        <v>158</v>
      </c>
      <c r="B77" t="s">
        <v>133</v>
      </c>
      <c r="C77" t="s">
        <v>68</v>
      </c>
      <c r="D77" s="2">
        <v>476.47</v>
      </c>
      <c r="E77">
        <v>1</v>
      </c>
      <c r="F77" s="2">
        <f>ecommerce_store_dataset[[#This Row],[price]]*ecommerce_store_dataset[[#This Row],[qty]]</f>
        <v>476.47</v>
      </c>
      <c r="G77" s="1">
        <v>45970</v>
      </c>
      <c r="H77" s="1">
        <v>45977</v>
      </c>
      <c r="I77" s="1" t="str">
        <f>TEXT(ecommerce_store_dataset[[#This Row],[Delivery_date]],"mmm")</f>
        <v>Nov</v>
      </c>
      <c r="J77" t="s">
        <v>46</v>
      </c>
      <c r="K77" t="s">
        <v>16</v>
      </c>
      <c r="L77" t="s">
        <v>30</v>
      </c>
      <c r="M77" t="s">
        <v>24</v>
      </c>
      <c r="N77">
        <v>23</v>
      </c>
    </row>
    <row r="78" spans="1:14" x14ac:dyDescent="0.25">
      <c r="A78" t="s">
        <v>159</v>
      </c>
      <c r="B78" t="s">
        <v>84</v>
      </c>
      <c r="C78" t="s">
        <v>53</v>
      </c>
      <c r="D78" s="2">
        <v>1186.99</v>
      </c>
      <c r="E78">
        <v>1</v>
      </c>
      <c r="F78" s="2">
        <f>ecommerce_store_dataset[[#This Row],[price]]*ecommerce_store_dataset[[#This Row],[qty]]</f>
        <v>1186.99</v>
      </c>
      <c r="G78" s="1">
        <v>45738</v>
      </c>
      <c r="H78" s="1">
        <v>45740</v>
      </c>
      <c r="I78" s="1" t="str">
        <f>TEXT(ecommerce_store_dataset[[#This Row],[Delivery_date]],"mmm")</f>
        <v>Mar</v>
      </c>
      <c r="J78" t="s">
        <v>49</v>
      </c>
      <c r="K78" t="s">
        <v>50</v>
      </c>
      <c r="L78" t="s">
        <v>23</v>
      </c>
      <c r="M78" t="s">
        <v>24</v>
      </c>
      <c r="N78">
        <v>20</v>
      </c>
    </row>
    <row r="79" spans="1:14" x14ac:dyDescent="0.25">
      <c r="A79" t="s">
        <v>160</v>
      </c>
      <c r="B79" t="s">
        <v>52</v>
      </c>
      <c r="C79" t="s">
        <v>53</v>
      </c>
      <c r="D79" s="2">
        <v>3324.89</v>
      </c>
      <c r="E79">
        <v>4</v>
      </c>
      <c r="F79" s="2">
        <f>ecommerce_store_dataset[[#This Row],[price]]*ecommerce_store_dataset[[#This Row],[qty]]</f>
        <v>13299.56</v>
      </c>
      <c r="G79" s="1">
        <v>45694</v>
      </c>
      <c r="H79" s="1">
        <v>45701</v>
      </c>
      <c r="I79" s="1" t="str">
        <f>TEXT(ecommerce_store_dataset[[#This Row],[Delivery_date]],"mmm")</f>
        <v>Feb</v>
      </c>
      <c r="J79" t="s">
        <v>101</v>
      </c>
      <c r="K79" t="s">
        <v>37</v>
      </c>
      <c r="L79" t="s">
        <v>23</v>
      </c>
      <c r="M79" t="s">
        <v>18</v>
      </c>
      <c r="N79">
        <v>30</v>
      </c>
    </row>
    <row r="80" spans="1:14" x14ac:dyDescent="0.25">
      <c r="A80" t="s">
        <v>161</v>
      </c>
      <c r="B80" t="s">
        <v>142</v>
      </c>
      <c r="C80" t="s">
        <v>68</v>
      </c>
      <c r="D80" s="2">
        <v>458.42</v>
      </c>
      <c r="E80">
        <v>2</v>
      </c>
      <c r="F80" s="2">
        <f>ecommerce_store_dataset[[#This Row],[price]]*ecommerce_store_dataset[[#This Row],[qty]]</f>
        <v>916.84</v>
      </c>
      <c r="G80" s="1">
        <v>45794</v>
      </c>
      <c r="H80" s="1">
        <v>45797</v>
      </c>
      <c r="I80" s="1" t="str">
        <f>TEXT(ecommerce_store_dataset[[#This Row],[Delivery_date]],"mmm")</f>
        <v>May</v>
      </c>
      <c r="J80" t="s">
        <v>74</v>
      </c>
      <c r="K80" t="s">
        <v>16</v>
      </c>
      <c r="L80" t="s">
        <v>30</v>
      </c>
      <c r="M80" t="s">
        <v>18</v>
      </c>
      <c r="N80">
        <v>56</v>
      </c>
    </row>
    <row r="81" spans="1:14" x14ac:dyDescent="0.25">
      <c r="A81" t="s">
        <v>162</v>
      </c>
      <c r="B81" t="s">
        <v>111</v>
      </c>
      <c r="C81" t="s">
        <v>27</v>
      </c>
      <c r="D81" s="2">
        <v>3178.77</v>
      </c>
      <c r="E81">
        <v>3</v>
      </c>
      <c r="F81" s="2">
        <f>ecommerce_store_dataset[[#This Row],[price]]*ecommerce_store_dataset[[#This Row],[qty]]</f>
        <v>9536.31</v>
      </c>
      <c r="G81" s="1">
        <v>46016</v>
      </c>
      <c r="H81" s="1">
        <v>46021</v>
      </c>
      <c r="I81" s="1" t="str">
        <f>TEXT(ecommerce_store_dataset[[#This Row],[Delivery_date]],"mmm")</f>
        <v>Dec</v>
      </c>
      <c r="J81" t="s">
        <v>59</v>
      </c>
      <c r="K81" t="s">
        <v>29</v>
      </c>
      <c r="L81" t="s">
        <v>23</v>
      </c>
      <c r="M81" t="s">
        <v>18</v>
      </c>
      <c r="N81">
        <v>23</v>
      </c>
    </row>
    <row r="82" spans="1:14" x14ac:dyDescent="0.25">
      <c r="A82" t="s">
        <v>163</v>
      </c>
      <c r="B82" t="s">
        <v>129</v>
      </c>
      <c r="C82" t="s">
        <v>14</v>
      </c>
      <c r="D82" s="2">
        <v>1902.7</v>
      </c>
      <c r="E82">
        <v>5</v>
      </c>
      <c r="F82" s="2">
        <f>ecommerce_store_dataset[[#This Row],[price]]*ecommerce_store_dataset[[#This Row],[qty]]</f>
        <v>9513.5</v>
      </c>
      <c r="G82" s="1">
        <v>45786</v>
      </c>
      <c r="H82" s="1">
        <v>45788</v>
      </c>
      <c r="I82" s="1" t="str">
        <f>TEXT(ecommerce_store_dataset[[#This Row],[Delivery_date]],"mmm")</f>
        <v>May</v>
      </c>
      <c r="J82" t="s">
        <v>46</v>
      </c>
      <c r="K82" t="s">
        <v>16</v>
      </c>
      <c r="L82" t="s">
        <v>23</v>
      </c>
      <c r="M82" t="s">
        <v>18</v>
      </c>
      <c r="N82">
        <v>19</v>
      </c>
    </row>
    <row r="83" spans="1:14" x14ac:dyDescent="0.25">
      <c r="A83" t="s">
        <v>164</v>
      </c>
      <c r="B83" t="s">
        <v>57</v>
      </c>
      <c r="C83" t="s">
        <v>27</v>
      </c>
      <c r="D83" s="2">
        <v>2043.13</v>
      </c>
      <c r="E83">
        <v>2</v>
      </c>
      <c r="F83" s="2">
        <f>ecommerce_store_dataset[[#This Row],[price]]*ecommerce_store_dataset[[#This Row],[qty]]</f>
        <v>4086.26</v>
      </c>
      <c r="G83" s="1">
        <v>45898</v>
      </c>
      <c r="H83" s="1">
        <v>45904</v>
      </c>
      <c r="I83" s="1" t="str">
        <f>TEXT(ecommerce_store_dataset[[#This Row],[Delivery_date]],"mmm")</f>
        <v>Sep</v>
      </c>
      <c r="J83" t="s">
        <v>69</v>
      </c>
      <c r="K83" t="s">
        <v>50</v>
      </c>
      <c r="L83" t="s">
        <v>30</v>
      </c>
      <c r="M83" t="s">
        <v>106</v>
      </c>
      <c r="N83">
        <v>45</v>
      </c>
    </row>
    <row r="84" spans="1:14" x14ac:dyDescent="0.25">
      <c r="A84" t="s">
        <v>165</v>
      </c>
      <c r="B84" t="s">
        <v>142</v>
      </c>
      <c r="C84" t="s">
        <v>68</v>
      </c>
      <c r="D84" s="2">
        <v>402.51</v>
      </c>
      <c r="E84">
        <v>4</v>
      </c>
      <c r="F84" s="2">
        <f>ecommerce_store_dataset[[#This Row],[price]]*ecommerce_store_dataset[[#This Row],[qty]]</f>
        <v>1610.04</v>
      </c>
      <c r="G84" s="1">
        <v>45828</v>
      </c>
      <c r="H84" s="1">
        <v>45832</v>
      </c>
      <c r="I84" s="1" t="str">
        <f>TEXT(ecommerce_store_dataset[[#This Row],[Delivery_date]],"mmm")</f>
        <v>Jun</v>
      </c>
      <c r="J84" t="s">
        <v>46</v>
      </c>
      <c r="K84" t="s">
        <v>16</v>
      </c>
      <c r="L84" t="s">
        <v>41</v>
      </c>
      <c r="M84" t="s">
        <v>24</v>
      </c>
      <c r="N84">
        <v>49</v>
      </c>
    </row>
    <row r="85" spans="1:14" x14ac:dyDescent="0.25">
      <c r="A85" t="s">
        <v>166</v>
      </c>
      <c r="B85" t="s">
        <v>43</v>
      </c>
      <c r="C85" t="s">
        <v>27</v>
      </c>
      <c r="D85" s="2">
        <v>14260.11</v>
      </c>
      <c r="E85">
        <v>5</v>
      </c>
      <c r="F85" s="2">
        <f>ecommerce_store_dataset[[#This Row],[price]]*ecommerce_store_dataset[[#This Row],[qty]]</f>
        <v>71300.55</v>
      </c>
      <c r="G85" s="1">
        <v>45676</v>
      </c>
      <c r="H85" s="1">
        <v>45681</v>
      </c>
      <c r="I85" s="1" t="str">
        <f>TEXT(ecommerce_store_dataset[[#This Row],[Delivery_date]],"mmm")</f>
        <v>Jan</v>
      </c>
      <c r="J85" t="s">
        <v>109</v>
      </c>
      <c r="K85" t="s">
        <v>16</v>
      </c>
      <c r="L85" t="s">
        <v>41</v>
      </c>
      <c r="M85" t="s">
        <v>24</v>
      </c>
      <c r="N85">
        <v>43</v>
      </c>
    </row>
    <row r="86" spans="1:14" x14ac:dyDescent="0.25">
      <c r="A86" t="s">
        <v>167</v>
      </c>
      <c r="B86" t="s">
        <v>64</v>
      </c>
      <c r="C86" t="s">
        <v>14</v>
      </c>
      <c r="D86" s="2">
        <v>1179.81</v>
      </c>
      <c r="E86">
        <v>2</v>
      </c>
      <c r="F86" s="2">
        <f>ecommerce_store_dataset[[#This Row],[price]]*ecommerce_store_dataset[[#This Row],[qty]]</f>
        <v>2359.62</v>
      </c>
      <c r="G86" s="1">
        <v>45923</v>
      </c>
      <c r="H86" s="1">
        <v>45927</v>
      </c>
      <c r="I86" s="1" t="str">
        <f>TEXT(ecommerce_store_dataset[[#This Row],[Delivery_date]],"mmm")</f>
        <v>Sep</v>
      </c>
      <c r="J86" t="s">
        <v>145</v>
      </c>
      <c r="K86" t="s">
        <v>22</v>
      </c>
      <c r="L86" t="s">
        <v>33</v>
      </c>
      <c r="M86" t="s">
        <v>18</v>
      </c>
      <c r="N86">
        <v>31</v>
      </c>
    </row>
    <row r="87" spans="1:14" x14ac:dyDescent="0.25">
      <c r="A87" t="s">
        <v>168</v>
      </c>
      <c r="B87" t="s">
        <v>57</v>
      </c>
      <c r="C87" t="s">
        <v>27</v>
      </c>
      <c r="D87" s="2">
        <v>3268.68</v>
      </c>
      <c r="E87">
        <v>3</v>
      </c>
      <c r="F87" s="2">
        <f>ecommerce_store_dataset[[#This Row],[price]]*ecommerce_store_dataset[[#This Row],[qty]]</f>
        <v>9806.0399999999991</v>
      </c>
      <c r="G87" s="1">
        <v>45882</v>
      </c>
      <c r="H87" s="1">
        <v>45889</v>
      </c>
      <c r="I87" s="1" t="str">
        <f>TEXT(ecommerce_store_dataset[[#This Row],[Delivery_date]],"mmm")</f>
        <v>Aug</v>
      </c>
      <c r="J87" t="s">
        <v>127</v>
      </c>
      <c r="K87" t="s">
        <v>50</v>
      </c>
      <c r="L87" t="s">
        <v>17</v>
      </c>
      <c r="M87" t="s">
        <v>106</v>
      </c>
      <c r="N87">
        <v>56</v>
      </c>
    </row>
    <row r="88" spans="1:14" x14ac:dyDescent="0.25">
      <c r="A88" t="s">
        <v>169</v>
      </c>
      <c r="B88" t="s">
        <v>170</v>
      </c>
      <c r="C88" t="s">
        <v>53</v>
      </c>
      <c r="D88" s="2">
        <v>1736.11</v>
      </c>
      <c r="E88">
        <v>1</v>
      </c>
      <c r="F88" s="2">
        <f>ecommerce_store_dataset[[#This Row],[price]]*ecommerce_store_dataset[[#This Row],[qty]]</f>
        <v>1736.11</v>
      </c>
      <c r="G88" s="1">
        <v>45940</v>
      </c>
      <c r="H88" s="1">
        <v>45945</v>
      </c>
      <c r="I88" s="1" t="str">
        <f>TEXT(ecommerce_store_dataset[[#This Row],[Delivery_date]],"mmm")</f>
        <v>Oct</v>
      </c>
      <c r="J88" t="s">
        <v>46</v>
      </c>
      <c r="K88" t="s">
        <v>16</v>
      </c>
      <c r="L88" t="s">
        <v>17</v>
      </c>
      <c r="M88" t="s">
        <v>24</v>
      </c>
      <c r="N88">
        <v>25</v>
      </c>
    </row>
    <row r="89" spans="1:14" x14ac:dyDescent="0.25">
      <c r="A89" t="s">
        <v>171</v>
      </c>
      <c r="B89" t="s">
        <v>73</v>
      </c>
      <c r="C89" t="s">
        <v>53</v>
      </c>
      <c r="D89" s="2">
        <v>4229.9399999999996</v>
      </c>
      <c r="E89">
        <v>3</v>
      </c>
      <c r="F89" s="2">
        <f>ecommerce_store_dataset[[#This Row],[price]]*ecommerce_store_dataset[[#This Row],[qty]]</f>
        <v>12689.82</v>
      </c>
      <c r="G89" s="1">
        <v>45918</v>
      </c>
      <c r="H89" s="1">
        <v>45925</v>
      </c>
      <c r="I89" s="1" t="str">
        <f>TEXT(ecommerce_store_dataset[[#This Row],[Delivery_date]],"mmm")</f>
        <v>Sep</v>
      </c>
      <c r="J89" t="s">
        <v>82</v>
      </c>
      <c r="K89" t="s">
        <v>29</v>
      </c>
      <c r="L89" t="s">
        <v>33</v>
      </c>
      <c r="M89" t="s">
        <v>106</v>
      </c>
      <c r="N89">
        <v>33</v>
      </c>
    </row>
    <row r="90" spans="1:14" x14ac:dyDescent="0.25">
      <c r="A90" t="s">
        <v>172</v>
      </c>
      <c r="B90" t="s">
        <v>86</v>
      </c>
      <c r="C90" t="s">
        <v>68</v>
      </c>
      <c r="D90" s="2">
        <v>158.47999999999999</v>
      </c>
      <c r="E90">
        <v>2</v>
      </c>
      <c r="F90" s="2">
        <f>ecommerce_store_dataset[[#This Row],[price]]*ecommerce_store_dataset[[#This Row],[qty]]</f>
        <v>316.95999999999998</v>
      </c>
      <c r="G90" s="1">
        <v>45964</v>
      </c>
      <c r="H90" s="1">
        <v>45970</v>
      </c>
      <c r="I90" s="1" t="str">
        <f>TEXT(ecommerce_store_dataset[[#This Row],[Delivery_date]],"mmm")</f>
        <v>Nov</v>
      </c>
      <c r="J90" t="s">
        <v>36</v>
      </c>
      <c r="K90" t="s">
        <v>37</v>
      </c>
      <c r="L90" t="s">
        <v>41</v>
      </c>
      <c r="M90" t="s">
        <v>18</v>
      </c>
      <c r="N90">
        <v>44</v>
      </c>
    </row>
    <row r="91" spans="1:14" x14ac:dyDescent="0.25">
      <c r="A91" t="s">
        <v>173</v>
      </c>
      <c r="B91" t="s">
        <v>26</v>
      </c>
      <c r="C91" t="s">
        <v>27</v>
      </c>
      <c r="D91" s="2">
        <v>8354.4599999999991</v>
      </c>
      <c r="E91">
        <v>1</v>
      </c>
      <c r="F91" s="2">
        <f>ecommerce_store_dataset[[#This Row],[price]]*ecommerce_store_dataset[[#This Row],[qty]]</f>
        <v>8354.4599999999991</v>
      </c>
      <c r="G91" s="1">
        <v>45802</v>
      </c>
      <c r="H91" s="1">
        <v>45809</v>
      </c>
      <c r="I91" s="1" t="str">
        <f>TEXT(ecommerce_store_dataset[[#This Row],[Delivery_date]],"mmm")</f>
        <v>Jun</v>
      </c>
      <c r="J91" t="s">
        <v>59</v>
      </c>
      <c r="K91" t="s">
        <v>29</v>
      </c>
      <c r="L91" t="s">
        <v>23</v>
      </c>
      <c r="M91" t="s">
        <v>106</v>
      </c>
      <c r="N91">
        <v>49</v>
      </c>
    </row>
    <row r="92" spans="1:14" x14ac:dyDescent="0.25">
      <c r="A92" t="s">
        <v>174</v>
      </c>
      <c r="B92" t="s">
        <v>73</v>
      </c>
      <c r="C92" t="s">
        <v>53</v>
      </c>
      <c r="D92" s="2">
        <v>2649.71</v>
      </c>
      <c r="E92">
        <v>3</v>
      </c>
      <c r="F92" s="2">
        <f>ecommerce_store_dataset[[#This Row],[price]]*ecommerce_store_dataset[[#This Row],[qty]]</f>
        <v>7949.13</v>
      </c>
      <c r="G92" s="1">
        <v>45828</v>
      </c>
      <c r="H92" s="1">
        <v>45834</v>
      </c>
      <c r="I92" s="1" t="str">
        <f>TEXT(ecommerce_store_dataset[[#This Row],[Delivery_date]],"mmm")</f>
        <v>Jun</v>
      </c>
      <c r="J92" t="s">
        <v>145</v>
      </c>
      <c r="K92" t="s">
        <v>22</v>
      </c>
      <c r="L92" t="s">
        <v>33</v>
      </c>
      <c r="M92" t="s">
        <v>18</v>
      </c>
      <c r="N92">
        <v>30</v>
      </c>
    </row>
    <row r="93" spans="1:14" x14ac:dyDescent="0.25">
      <c r="A93" t="s">
        <v>175</v>
      </c>
      <c r="B93" t="s">
        <v>81</v>
      </c>
      <c r="C93" t="s">
        <v>53</v>
      </c>
      <c r="D93" s="2">
        <v>1426.59</v>
      </c>
      <c r="E93">
        <v>4</v>
      </c>
      <c r="F93" s="2">
        <f>ecommerce_store_dataset[[#This Row],[price]]*ecommerce_store_dataset[[#This Row],[qty]]</f>
        <v>5706.36</v>
      </c>
      <c r="G93" s="1">
        <v>45680</v>
      </c>
      <c r="H93" s="1">
        <v>45684</v>
      </c>
      <c r="I93" s="1" t="str">
        <f>TEXT(ecommerce_store_dataset[[#This Row],[Delivery_date]],"mmm")</f>
        <v>Jan</v>
      </c>
      <c r="J93" t="s">
        <v>49</v>
      </c>
      <c r="K93" t="s">
        <v>50</v>
      </c>
      <c r="L93" t="s">
        <v>33</v>
      </c>
      <c r="M93" t="s">
        <v>106</v>
      </c>
      <c r="N93">
        <v>59</v>
      </c>
    </row>
    <row r="94" spans="1:14" x14ac:dyDescent="0.25">
      <c r="A94" t="s">
        <v>176</v>
      </c>
      <c r="B94" t="s">
        <v>73</v>
      </c>
      <c r="C94" t="s">
        <v>53</v>
      </c>
      <c r="D94" s="2">
        <v>4358.95</v>
      </c>
      <c r="E94">
        <v>2</v>
      </c>
      <c r="F94" s="2">
        <f>ecommerce_store_dataset[[#This Row],[price]]*ecommerce_store_dataset[[#This Row],[qty]]</f>
        <v>8717.9</v>
      </c>
      <c r="G94" s="1">
        <v>45915</v>
      </c>
      <c r="H94" s="1">
        <v>45921</v>
      </c>
      <c r="I94" s="1" t="str">
        <f>TEXT(ecommerce_store_dataset[[#This Row],[Delivery_date]],"mmm")</f>
        <v>Sep</v>
      </c>
      <c r="J94" t="s">
        <v>32</v>
      </c>
      <c r="K94" t="s">
        <v>29</v>
      </c>
      <c r="L94" t="s">
        <v>33</v>
      </c>
      <c r="M94" t="s">
        <v>24</v>
      </c>
      <c r="N94">
        <v>47</v>
      </c>
    </row>
    <row r="95" spans="1:14" x14ac:dyDescent="0.25">
      <c r="A95" t="s">
        <v>177</v>
      </c>
      <c r="B95" t="s">
        <v>136</v>
      </c>
      <c r="C95" t="s">
        <v>14</v>
      </c>
      <c r="D95" s="2">
        <v>1172.45</v>
      </c>
      <c r="E95">
        <v>2</v>
      </c>
      <c r="F95" s="2">
        <f>ecommerce_store_dataset[[#This Row],[price]]*ecommerce_store_dataset[[#This Row],[qty]]</f>
        <v>2344.9</v>
      </c>
      <c r="G95" s="1">
        <v>45696</v>
      </c>
      <c r="H95" s="1">
        <v>45701</v>
      </c>
      <c r="I95" s="1" t="str">
        <f>TEXT(ecommerce_store_dataset[[#This Row],[Delivery_date]],"mmm")</f>
        <v>Feb</v>
      </c>
      <c r="J95" t="s">
        <v>28</v>
      </c>
      <c r="K95" t="s">
        <v>29</v>
      </c>
      <c r="L95" t="s">
        <v>23</v>
      </c>
      <c r="M95" t="s">
        <v>18</v>
      </c>
      <c r="N95">
        <v>59</v>
      </c>
    </row>
    <row r="96" spans="1:14" x14ac:dyDescent="0.25">
      <c r="A96" t="s">
        <v>178</v>
      </c>
      <c r="B96" t="s">
        <v>62</v>
      </c>
      <c r="C96" t="s">
        <v>14</v>
      </c>
      <c r="D96" s="2">
        <v>2167.77</v>
      </c>
      <c r="E96">
        <v>5</v>
      </c>
      <c r="F96" s="2">
        <f>ecommerce_store_dataset[[#This Row],[price]]*ecommerce_store_dataset[[#This Row],[qty]]</f>
        <v>10838.85</v>
      </c>
      <c r="G96" s="1">
        <v>45852</v>
      </c>
      <c r="H96" s="1">
        <v>45856</v>
      </c>
      <c r="I96" s="1" t="str">
        <f>TEXT(ecommerce_store_dataset[[#This Row],[Delivery_date]],"mmm")</f>
        <v>Jul</v>
      </c>
      <c r="J96" t="s">
        <v>65</v>
      </c>
      <c r="K96" t="s">
        <v>50</v>
      </c>
      <c r="L96" t="s">
        <v>17</v>
      </c>
      <c r="M96" t="s">
        <v>18</v>
      </c>
      <c r="N96">
        <v>33</v>
      </c>
    </row>
    <row r="97" spans="1:14" x14ac:dyDescent="0.25">
      <c r="A97" t="s">
        <v>179</v>
      </c>
      <c r="B97" t="s">
        <v>150</v>
      </c>
      <c r="C97" t="s">
        <v>27</v>
      </c>
      <c r="D97" s="2">
        <v>11581.35</v>
      </c>
      <c r="E97">
        <v>4</v>
      </c>
      <c r="F97" s="2">
        <f>ecommerce_store_dataset[[#This Row],[price]]*ecommerce_store_dataset[[#This Row],[qty]]</f>
        <v>46325.4</v>
      </c>
      <c r="G97" s="1">
        <v>45708</v>
      </c>
      <c r="H97" s="1">
        <v>45715</v>
      </c>
      <c r="I97" s="1" t="str">
        <f>TEXT(ecommerce_store_dataset[[#This Row],[Delivery_date]],"mmm")</f>
        <v>Feb</v>
      </c>
      <c r="J97" t="s">
        <v>78</v>
      </c>
      <c r="K97" t="s">
        <v>16</v>
      </c>
      <c r="L97" t="s">
        <v>30</v>
      </c>
      <c r="M97" t="s">
        <v>18</v>
      </c>
      <c r="N97">
        <v>19</v>
      </c>
    </row>
    <row r="98" spans="1:14" x14ac:dyDescent="0.25">
      <c r="A98" t="s">
        <v>180</v>
      </c>
      <c r="B98" t="s">
        <v>62</v>
      </c>
      <c r="C98" t="s">
        <v>14</v>
      </c>
      <c r="D98" s="2">
        <v>2041.32</v>
      </c>
      <c r="E98">
        <v>3</v>
      </c>
      <c r="F98" s="2">
        <f>ecommerce_store_dataset[[#This Row],[price]]*ecommerce_store_dataset[[#This Row],[qty]]</f>
        <v>6123.96</v>
      </c>
      <c r="G98" s="1">
        <v>45841</v>
      </c>
      <c r="H98" s="1">
        <v>45845</v>
      </c>
      <c r="I98" s="1" t="str">
        <f>TEXT(ecommerce_store_dataset[[#This Row],[Delivery_date]],"mmm")</f>
        <v>Jul</v>
      </c>
      <c r="J98" t="s">
        <v>90</v>
      </c>
      <c r="K98" t="s">
        <v>50</v>
      </c>
      <c r="L98" t="s">
        <v>30</v>
      </c>
      <c r="M98" t="s">
        <v>18</v>
      </c>
      <c r="N98">
        <v>54</v>
      </c>
    </row>
    <row r="99" spans="1:14" x14ac:dyDescent="0.25">
      <c r="A99" t="s">
        <v>181</v>
      </c>
      <c r="B99" t="s">
        <v>170</v>
      </c>
      <c r="C99" t="s">
        <v>53</v>
      </c>
      <c r="D99" s="2">
        <v>1192.03</v>
      </c>
      <c r="E99">
        <v>5</v>
      </c>
      <c r="F99" s="2">
        <f>ecommerce_store_dataset[[#This Row],[price]]*ecommerce_store_dataset[[#This Row],[qty]]</f>
        <v>5960.15</v>
      </c>
      <c r="G99" s="1">
        <v>45853</v>
      </c>
      <c r="H99" s="1">
        <v>45859</v>
      </c>
      <c r="I99" s="1" t="str">
        <f>TEXT(ecommerce_store_dataset[[#This Row],[Delivery_date]],"mmm")</f>
        <v>Jul</v>
      </c>
      <c r="J99" t="s">
        <v>97</v>
      </c>
      <c r="K99" t="s">
        <v>37</v>
      </c>
      <c r="L99" t="s">
        <v>23</v>
      </c>
      <c r="M99" t="s">
        <v>24</v>
      </c>
      <c r="N99">
        <v>47</v>
      </c>
    </row>
    <row r="100" spans="1:14" x14ac:dyDescent="0.25">
      <c r="A100" t="s">
        <v>182</v>
      </c>
      <c r="B100" t="s">
        <v>111</v>
      </c>
      <c r="C100" t="s">
        <v>27</v>
      </c>
      <c r="D100" s="2">
        <v>4946.91</v>
      </c>
      <c r="E100">
        <v>1</v>
      </c>
      <c r="F100" s="2">
        <f>ecommerce_store_dataset[[#This Row],[price]]*ecommerce_store_dataset[[#This Row],[qty]]</f>
        <v>4946.91</v>
      </c>
      <c r="G100" s="1">
        <v>45896</v>
      </c>
      <c r="H100" s="1">
        <v>45900</v>
      </c>
      <c r="I100" s="1" t="str">
        <f>TEXT(ecommerce_store_dataset[[#This Row],[Delivery_date]],"mmm")</f>
        <v>Aug</v>
      </c>
      <c r="J100" t="s">
        <v>21</v>
      </c>
      <c r="K100" t="s">
        <v>22</v>
      </c>
      <c r="L100" t="s">
        <v>17</v>
      </c>
      <c r="M100" t="s">
        <v>24</v>
      </c>
      <c r="N100">
        <v>40</v>
      </c>
    </row>
    <row r="101" spans="1:14" x14ac:dyDescent="0.25">
      <c r="A101" t="s">
        <v>183</v>
      </c>
      <c r="B101" t="s">
        <v>43</v>
      </c>
      <c r="C101" t="s">
        <v>27</v>
      </c>
      <c r="D101" s="2">
        <v>14487.39</v>
      </c>
      <c r="E101">
        <v>3</v>
      </c>
      <c r="F101" s="2">
        <f>ecommerce_store_dataset[[#This Row],[price]]*ecommerce_store_dataset[[#This Row],[qty]]</f>
        <v>43462.17</v>
      </c>
      <c r="G101" s="1">
        <v>45891</v>
      </c>
      <c r="H101" s="1">
        <v>45895</v>
      </c>
      <c r="I101" s="1" t="str">
        <f>TEXT(ecommerce_store_dataset[[#This Row],[Delivery_date]],"mmm")</f>
        <v>Aug</v>
      </c>
      <c r="J101" t="s">
        <v>97</v>
      </c>
      <c r="K101" t="s">
        <v>37</v>
      </c>
      <c r="L101" t="s">
        <v>33</v>
      </c>
      <c r="M101" t="s">
        <v>24</v>
      </c>
      <c r="N101">
        <v>42</v>
      </c>
    </row>
    <row r="102" spans="1:14" x14ac:dyDescent="0.25">
      <c r="A102" t="s">
        <v>184</v>
      </c>
      <c r="B102" t="s">
        <v>57</v>
      </c>
      <c r="C102" t="s">
        <v>27</v>
      </c>
      <c r="D102" s="2">
        <v>5494.28</v>
      </c>
      <c r="E102">
        <v>3</v>
      </c>
      <c r="F102" s="2">
        <f>ecommerce_store_dataset[[#This Row],[price]]*ecommerce_store_dataset[[#This Row],[qty]]</f>
        <v>16482.84</v>
      </c>
      <c r="G102" s="1">
        <v>45669</v>
      </c>
      <c r="H102" s="1">
        <v>45676</v>
      </c>
      <c r="I102" s="1" t="str">
        <f>TEXT(ecommerce_store_dataset[[#This Row],[Delivery_date]],"mmm")</f>
        <v>Jan</v>
      </c>
      <c r="J102" t="s">
        <v>69</v>
      </c>
      <c r="K102" t="s">
        <v>50</v>
      </c>
      <c r="L102" t="s">
        <v>17</v>
      </c>
      <c r="M102" t="s">
        <v>18</v>
      </c>
      <c r="N102">
        <v>61</v>
      </c>
    </row>
    <row r="103" spans="1:14" x14ac:dyDescent="0.25">
      <c r="A103" t="s">
        <v>185</v>
      </c>
      <c r="B103" t="s">
        <v>64</v>
      </c>
      <c r="C103" t="s">
        <v>14</v>
      </c>
      <c r="D103" s="2">
        <v>2123.89</v>
      </c>
      <c r="E103">
        <v>3</v>
      </c>
      <c r="F103" s="2">
        <f>ecommerce_store_dataset[[#This Row],[price]]*ecommerce_store_dataset[[#This Row],[qty]]</f>
        <v>6371.67</v>
      </c>
      <c r="G103" s="1">
        <v>45775</v>
      </c>
      <c r="H103" s="1">
        <v>45781</v>
      </c>
      <c r="I103" s="1" t="str">
        <f>TEXT(ecommerce_store_dataset[[#This Row],[Delivery_date]],"mmm")</f>
        <v>May</v>
      </c>
      <c r="J103" t="s">
        <v>40</v>
      </c>
      <c r="K103" t="s">
        <v>29</v>
      </c>
      <c r="L103" t="s">
        <v>30</v>
      </c>
      <c r="M103" t="s">
        <v>18</v>
      </c>
      <c r="N103">
        <v>61</v>
      </c>
    </row>
    <row r="104" spans="1:14" x14ac:dyDescent="0.25">
      <c r="A104" t="s">
        <v>186</v>
      </c>
      <c r="B104" t="s">
        <v>126</v>
      </c>
      <c r="C104" t="s">
        <v>53</v>
      </c>
      <c r="D104" s="2">
        <v>4112.6499999999996</v>
      </c>
      <c r="E104">
        <v>1</v>
      </c>
      <c r="F104" s="2">
        <f>ecommerce_store_dataset[[#This Row],[price]]*ecommerce_store_dataset[[#This Row],[qty]]</f>
        <v>4112.6499999999996</v>
      </c>
      <c r="G104" s="1">
        <v>45816</v>
      </c>
      <c r="H104" s="1">
        <v>45821</v>
      </c>
      <c r="I104" s="1" t="str">
        <f>TEXT(ecommerce_store_dataset[[#This Row],[Delivery_date]],"mmm")</f>
        <v>Jun</v>
      </c>
      <c r="J104" t="s">
        <v>15</v>
      </c>
      <c r="K104" t="s">
        <v>16</v>
      </c>
      <c r="L104" t="s">
        <v>41</v>
      </c>
      <c r="M104" t="s">
        <v>18</v>
      </c>
      <c r="N104">
        <v>23</v>
      </c>
    </row>
    <row r="105" spans="1:14" x14ac:dyDescent="0.25">
      <c r="A105" t="s">
        <v>187</v>
      </c>
      <c r="B105" t="s">
        <v>89</v>
      </c>
      <c r="C105" t="s">
        <v>27</v>
      </c>
      <c r="D105" s="2">
        <v>11590.99</v>
      </c>
      <c r="E105">
        <v>2</v>
      </c>
      <c r="F105" s="2">
        <f>ecommerce_store_dataset[[#This Row],[price]]*ecommerce_store_dataset[[#This Row],[qty]]</f>
        <v>23181.98</v>
      </c>
      <c r="G105" s="1">
        <v>45760</v>
      </c>
      <c r="H105" s="1">
        <v>45763</v>
      </c>
      <c r="I105" s="1" t="str">
        <f>TEXT(ecommerce_store_dataset[[#This Row],[Delivery_date]],"mmm")</f>
        <v>Apr</v>
      </c>
      <c r="J105" t="s">
        <v>147</v>
      </c>
      <c r="K105" t="s">
        <v>22</v>
      </c>
      <c r="L105" t="s">
        <v>23</v>
      </c>
      <c r="M105" t="s">
        <v>18</v>
      </c>
      <c r="N105">
        <v>35</v>
      </c>
    </row>
    <row r="106" spans="1:14" x14ac:dyDescent="0.25">
      <c r="A106" t="s">
        <v>188</v>
      </c>
      <c r="B106" t="s">
        <v>52</v>
      </c>
      <c r="C106" t="s">
        <v>53</v>
      </c>
      <c r="D106" s="2">
        <v>4155.34</v>
      </c>
      <c r="E106">
        <v>4</v>
      </c>
      <c r="F106" s="2">
        <f>ecommerce_store_dataset[[#This Row],[price]]*ecommerce_store_dataset[[#This Row],[qty]]</f>
        <v>16621.36</v>
      </c>
      <c r="G106" s="1">
        <v>45809</v>
      </c>
      <c r="H106" s="1">
        <v>45816</v>
      </c>
      <c r="I106" s="1" t="str">
        <f>TEXT(ecommerce_store_dataset[[#This Row],[Delivery_date]],"mmm")</f>
        <v>Jun</v>
      </c>
      <c r="J106" t="s">
        <v>32</v>
      </c>
      <c r="K106" t="s">
        <v>29</v>
      </c>
      <c r="L106" t="s">
        <v>33</v>
      </c>
      <c r="M106" t="s">
        <v>18</v>
      </c>
      <c r="N106">
        <v>27</v>
      </c>
    </row>
    <row r="107" spans="1:14" x14ac:dyDescent="0.25">
      <c r="A107" t="s">
        <v>189</v>
      </c>
      <c r="B107" t="s">
        <v>81</v>
      </c>
      <c r="C107" t="s">
        <v>53</v>
      </c>
      <c r="D107" s="2">
        <v>4368.75</v>
      </c>
      <c r="E107">
        <v>5</v>
      </c>
      <c r="F107" s="2">
        <f>ecommerce_store_dataset[[#This Row],[price]]*ecommerce_store_dataset[[#This Row],[qty]]</f>
        <v>21843.75</v>
      </c>
      <c r="G107" s="1">
        <v>45845</v>
      </c>
      <c r="H107" s="1">
        <v>45847</v>
      </c>
      <c r="I107" s="1" t="str">
        <f>TEXT(ecommerce_store_dataset[[#This Row],[Delivery_date]],"mmm")</f>
        <v>Jul</v>
      </c>
      <c r="J107" t="s">
        <v>127</v>
      </c>
      <c r="K107" t="s">
        <v>50</v>
      </c>
      <c r="L107" t="s">
        <v>41</v>
      </c>
      <c r="M107" t="s">
        <v>18</v>
      </c>
      <c r="N107">
        <v>47</v>
      </c>
    </row>
    <row r="108" spans="1:14" x14ac:dyDescent="0.25">
      <c r="A108" t="s">
        <v>190</v>
      </c>
      <c r="B108" t="s">
        <v>43</v>
      </c>
      <c r="C108" t="s">
        <v>27</v>
      </c>
      <c r="D108" s="2">
        <v>11611.66</v>
      </c>
      <c r="E108">
        <v>3</v>
      </c>
      <c r="F108" s="2">
        <f>ecommerce_store_dataset[[#This Row],[price]]*ecommerce_store_dataset[[#This Row],[qty]]</f>
        <v>34834.979999999996</v>
      </c>
      <c r="G108" s="1">
        <v>45957</v>
      </c>
      <c r="H108" s="1">
        <v>45962</v>
      </c>
      <c r="I108" s="1" t="str">
        <f>TEXT(ecommerce_store_dataset[[#This Row],[Delivery_date]],"mmm")</f>
        <v>Nov</v>
      </c>
      <c r="J108" t="s">
        <v>32</v>
      </c>
      <c r="K108" t="s">
        <v>29</v>
      </c>
      <c r="L108" t="s">
        <v>30</v>
      </c>
      <c r="M108" t="s">
        <v>18</v>
      </c>
      <c r="N108">
        <v>57</v>
      </c>
    </row>
    <row r="109" spans="1:14" x14ac:dyDescent="0.25">
      <c r="A109" t="s">
        <v>191</v>
      </c>
      <c r="B109" t="s">
        <v>57</v>
      </c>
      <c r="C109" t="s">
        <v>27</v>
      </c>
      <c r="D109" s="2">
        <v>4488.46</v>
      </c>
      <c r="E109">
        <v>1</v>
      </c>
      <c r="F109" s="2">
        <f>ecommerce_store_dataset[[#This Row],[price]]*ecommerce_store_dataset[[#This Row],[qty]]</f>
        <v>4488.46</v>
      </c>
      <c r="G109" s="1">
        <v>45983</v>
      </c>
      <c r="H109" s="1">
        <v>45988</v>
      </c>
      <c r="I109" s="1" t="str">
        <f>TEXT(ecommerce_store_dataset[[#This Row],[Delivery_date]],"mmm")</f>
        <v>Nov</v>
      </c>
      <c r="J109" t="s">
        <v>82</v>
      </c>
      <c r="K109" t="s">
        <v>29</v>
      </c>
      <c r="L109" t="s">
        <v>17</v>
      </c>
      <c r="M109" t="s">
        <v>24</v>
      </c>
      <c r="N109">
        <v>20</v>
      </c>
    </row>
    <row r="110" spans="1:14" x14ac:dyDescent="0.25">
      <c r="A110" t="s">
        <v>192</v>
      </c>
      <c r="B110" t="s">
        <v>111</v>
      </c>
      <c r="C110" t="s">
        <v>27</v>
      </c>
      <c r="D110" s="2">
        <v>3067.63</v>
      </c>
      <c r="E110">
        <v>2</v>
      </c>
      <c r="F110" s="2">
        <f>ecommerce_store_dataset[[#This Row],[price]]*ecommerce_store_dataset[[#This Row],[qty]]</f>
        <v>6135.26</v>
      </c>
      <c r="G110" s="1">
        <v>45933</v>
      </c>
      <c r="H110" s="1">
        <v>45936</v>
      </c>
      <c r="I110" s="1" t="str">
        <f>TEXT(ecommerce_store_dataset[[#This Row],[Delivery_date]],"mmm")</f>
        <v>Oct</v>
      </c>
      <c r="J110" t="s">
        <v>49</v>
      </c>
      <c r="K110" t="s">
        <v>50</v>
      </c>
      <c r="L110" t="s">
        <v>41</v>
      </c>
      <c r="M110" t="s">
        <v>18</v>
      </c>
      <c r="N110">
        <v>65</v>
      </c>
    </row>
    <row r="111" spans="1:14" x14ac:dyDescent="0.25">
      <c r="A111" t="s">
        <v>193</v>
      </c>
      <c r="B111" t="s">
        <v>86</v>
      </c>
      <c r="C111" t="s">
        <v>68</v>
      </c>
      <c r="D111" s="2">
        <v>606.70000000000005</v>
      </c>
      <c r="E111">
        <v>2</v>
      </c>
      <c r="F111" s="2">
        <f>ecommerce_store_dataset[[#This Row],[price]]*ecommerce_store_dataset[[#This Row],[qty]]</f>
        <v>1213.4000000000001</v>
      </c>
      <c r="G111" s="1">
        <v>45870</v>
      </c>
      <c r="H111" s="1">
        <v>45877</v>
      </c>
      <c r="I111" s="1" t="str">
        <f>TEXT(ecommerce_store_dataset[[#This Row],[Delivery_date]],"mmm")</f>
        <v>Aug</v>
      </c>
      <c r="J111" t="s">
        <v>78</v>
      </c>
      <c r="K111" t="s">
        <v>16</v>
      </c>
      <c r="L111" t="s">
        <v>23</v>
      </c>
      <c r="M111" t="s">
        <v>24</v>
      </c>
      <c r="N111">
        <v>35</v>
      </c>
    </row>
    <row r="112" spans="1:14" x14ac:dyDescent="0.25">
      <c r="A112" t="s">
        <v>194</v>
      </c>
      <c r="B112" t="s">
        <v>62</v>
      </c>
      <c r="C112" t="s">
        <v>14</v>
      </c>
      <c r="D112" s="2">
        <v>738.86</v>
      </c>
      <c r="E112">
        <v>4</v>
      </c>
      <c r="F112" s="2">
        <f>ecommerce_store_dataset[[#This Row],[price]]*ecommerce_store_dataset[[#This Row],[qty]]</f>
        <v>2955.44</v>
      </c>
      <c r="G112" s="1">
        <v>45778</v>
      </c>
      <c r="H112" s="1">
        <v>45782</v>
      </c>
      <c r="I112" s="1" t="str">
        <f>TEXT(ecommerce_store_dataset[[#This Row],[Delivery_date]],"mmm")</f>
        <v>May</v>
      </c>
      <c r="J112" t="s">
        <v>109</v>
      </c>
      <c r="K112" t="s">
        <v>16</v>
      </c>
      <c r="L112" t="s">
        <v>23</v>
      </c>
      <c r="M112" t="s">
        <v>18</v>
      </c>
      <c r="N112">
        <v>59</v>
      </c>
    </row>
    <row r="113" spans="1:14" x14ac:dyDescent="0.25">
      <c r="A113" t="s">
        <v>195</v>
      </c>
      <c r="B113" t="s">
        <v>48</v>
      </c>
      <c r="C113" t="s">
        <v>27</v>
      </c>
      <c r="D113" s="2">
        <v>6874.89</v>
      </c>
      <c r="E113">
        <v>2</v>
      </c>
      <c r="F113" s="2">
        <f>ecommerce_store_dataset[[#This Row],[price]]*ecommerce_store_dataset[[#This Row],[qty]]</f>
        <v>13749.78</v>
      </c>
      <c r="G113" s="1">
        <v>45720</v>
      </c>
      <c r="H113" s="1">
        <v>45725</v>
      </c>
      <c r="I113" s="1" t="str">
        <f>TEXT(ecommerce_store_dataset[[#This Row],[Delivery_date]],"mmm")</f>
        <v>Mar</v>
      </c>
      <c r="J113" t="s">
        <v>46</v>
      </c>
      <c r="K113" t="s">
        <v>16</v>
      </c>
      <c r="L113" t="s">
        <v>23</v>
      </c>
      <c r="M113" t="s">
        <v>106</v>
      </c>
      <c r="N113">
        <v>21</v>
      </c>
    </row>
    <row r="114" spans="1:14" x14ac:dyDescent="0.25">
      <c r="A114" t="s">
        <v>196</v>
      </c>
      <c r="B114" t="s">
        <v>150</v>
      </c>
      <c r="C114" t="s">
        <v>27</v>
      </c>
      <c r="D114" s="2">
        <v>14849.08</v>
      </c>
      <c r="E114">
        <v>5</v>
      </c>
      <c r="F114" s="2">
        <f>ecommerce_store_dataset[[#This Row],[price]]*ecommerce_store_dataset[[#This Row],[qty]]</f>
        <v>74245.399999999994</v>
      </c>
      <c r="G114" s="1">
        <v>45763</v>
      </c>
      <c r="H114" s="1">
        <v>45765</v>
      </c>
      <c r="I114" s="1" t="str">
        <f>TEXT(ecommerce_store_dataset[[#This Row],[Delivery_date]],"mmm")</f>
        <v>Apr</v>
      </c>
      <c r="J114" t="s">
        <v>21</v>
      </c>
      <c r="K114" t="s">
        <v>22</v>
      </c>
      <c r="L114" t="s">
        <v>23</v>
      </c>
      <c r="M114" t="s">
        <v>24</v>
      </c>
      <c r="N114">
        <v>32</v>
      </c>
    </row>
    <row r="115" spans="1:14" x14ac:dyDescent="0.25">
      <c r="A115" t="s">
        <v>197</v>
      </c>
      <c r="B115" t="s">
        <v>26</v>
      </c>
      <c r="C115" t="s">
        <v>27</v>
      </c>
      <c r="D115" s="2">
        <v>3491.98</v>
      </c>
      <c r="E115">
        <v>5</v>
      </c>
      <c r="F115" s="2">
        <f>ecommerce_store_dataset[[#This Row],[price]]*ecommerce_store_dataset[[#This Row],[qty]]</f>
        <v>17459.900000000001</v>
      </c>
      <c r="G115" s="1">
        <v>45659</v>
      </c>
      <c r="H115" s="1">
        <v>45663</v>
      </c>
      <c r="I115" s="1" t="str">
        <f>TEXT(ecommerce_store_dataset[[#This Row],[Delivery_date]],"mmm")</f>
        <v>Jan</v>
      </c>
      <c r="J115" t="s">
        <v>116</v>
      </c>
      <c r="K115" t="s">
        <v>37</v>
      </c>
      <c r="L115" t="s">
        <v>23</v>
      </c>
      <c r="M115" t="s">
        <v>24</v>
      </c>
      <c r="N115">
        <v>29</v>
      </c>
    </row>
    <row r="116" spans="1:14" x14ac:dyDescent="0.25">
      <c r="A116" t="s">
        <v>198</v>
      </c>
      <c r="B116" t="s">
        <v>13</v>
      </c>
      <c r="C116" t="s">
        <v>14</v>
      </c>
      <c r="D116" s="2">
        <v>546.55999999999995</v>
      </c>
      <c r="E116">
        <v>3</v>
      </c>
      <c r="F116" s="2">
        <f>ecommerce_store_dataset[[#This Row],[price]]*ecommerce_store_dataset[[#This Row],[qty]]</f>
        <v>1639.6799999999998</v>
      </c>
      <c r="G116" s="1">
        <v>45779</v>
      </c>
      <c r="H116" s="1">
        <v>45785</v>
      </c>
      <c r="I116" s="1" t="str">
        <f>TEXT(ecommerce_store_dataset[[#This Row],[Delivery_date]],"mmm")</f>
        <v>May</v>
      </c>
      <c r="J116" t="s">
        <v>32</v>
      </c>
      <c r="K116" t="s">
        <v>29</v>
      </c>
      <c r="L116" t="s">
        <v>30</v>
      </c>
      <c r="M116" t="s">
        <v>24</v>
      </c>
      <c r="N116">
        <v>26</v>
      </c>
    </row>
    <row r="117" spans="1:14" x14ac:dyDescent="0.25">
      <c r="A117" t="s">
        <v>199</v>
      </c>
      <c r="B117" t="s">
        <v>86</v>
      </c>
      <c r="C117" t="s">
        <v>68</v>
      </c>
      <c r="D117" s="2">
        <v>135.24</v>
      </c>
      <c r="E117">
        <v>1</v>
      </c>
      <c r="F117" s="2">
        <f>ecommerce_store_dataset[[#This Row],[price]]*ecommerce_store_dataset[[#This Row],[qty]]</f>
        <v>135.24</v>
      </c>
      <c r="G117" s="1">
        <v>45901</v>
      </c>
      <c r="H117" s="1">
        <v>45906</v>
      </c>
      <c r="I117" s="1" t="str">
        <f>TEXT(ecommerce_store_dataset[[#This Row],[Delivery_date]],"mmm")</f>
        <v>Sep</v>
      </c>
      <c r="J117" t="s">
        <v>59</v>
      </c>
      <c r="K117" t="s">
        <v>29</v>
      </c>
      <c r="L117" t="s">
        <v>23</v>
      </c>
      <c r="M117" t="s">
        <v>24</v>
      </c>
      <c r="N117">
        <v>50</v>
      </c>
    </row>
    <row r="118" spans="1:14" x14ac:dyDescent="0.25">
      <c r="A118" t="s">
        <v>200</v>
      </c>
      <c r="B118" t="s">
        <v>119</v>
      </c>
      <c r="C118" t="s">
        <v>53</v>
      </c>
      <c r="D118" s="2">
        <v>3406.24</v>
      </c>
      <c r="E118">
        <v>5</v>
      </c>
      <c r="F118" s="2">
        <f>ecommerce_store_dataset[[#This Row],[price]]*ecommerce_store_dataset[[#This Row],[qty]]</f>
        <v>17031.199999999997</v>
      </c>
      <c r="G118" s="1">
        <v>45812</v>
      </c>
      <c r="H118" s="1">
        <v>45817</v>
      </c>
      <c r="I118" s="1" t="str">
        <f>TEXT(ecommerce_store_dataset[[#This Row],[Delivery_date]],"mmm")</f>
        <v>Jun</v>
      </c>
      <c r="J118" t="s">
        <v>74</v>
      </c>
      <c r="K118" t="s">
        <v>16</v>
      </c>
      <c r="L118" t="s">
        <v>33</v>
      </c>
      <c r="M118" t="s">
        <v>18</v>
      </c>
      <c r="N118">
        <v>45</v>
      </c>
    </row>
    <row r="119" spans="1:14" x14ac:dyDescent="0.25">
      <c r="A119" t="s">
        <v>201</v>
      </c>
      <c r="B119" t="s">
        <v>64</v>
      </c>
      <c r="C119" t="s">
        <v>14</v>
      </c>
      <c r="D119" s="2">
        <v>1852.9</v>
      </c>
      <c r="E119">
        <v>4</v>
      </c>
      <c r="F119" s="2">
        <f>ecommerce_store_dataset[[#This Row],[price]]*ecommerce_store_dataset[[#This Row],[qty]]</f>
        <v>7411.6</v>
      </c>
      <c r="G119" s="1">
        <v>45695</v>
      </c>
      <c r="H119" s="1">
        <v>45697</v>
      </c>
      <c r="I119" s="1" t="str">
        <f>TEXT(ecommerce_store_dataset[[#This Row],[Delivery_date]],"mmm")</f>
        <v>Feb</v>
      </c>
      <c r="J119" t="s">
        <v>59</v>
      </c>
      <c r="K119" t="s">
        <v>29</v>
      </c>
      <c r="L119" t="s">
        <v>30</v>
      </c>
      <c r="M119" t="s">
        <v>24</v>
      </c>
      <c r="N119">
        <v>35</v>
      </c>
    </row>
    <row r="120" spans="1:14" x14ac:dyDescent="0.25">
      <c r="A120" t="s">
        <v>202</v>
      </c>
      <c r="B120" t="s">
        <v>111</v>
      </c>
      <c r="C120" t="s">
        <v>27</v>
      </c>
      <c r="D120" s="2">
        <v>14927.47</v>
      </c>
      <c r="E120">
        <v>5</v>
      </c>
      <c r="F120" s="2">
        <f>ecommerce_store_dataset[[#This Row],[price]]*ecommerce_store_dataset[[#This Row],[qty]]</f>
        <v>74637.349999999991</v>
      </c>
      <c r="G120" s="1">
        <v>45808</v>
      </c>
      <c r="H120" s="1">
        <v>45813</v>
      </c>
      <c r="I120" s="1" t="str">
        <f>TEXT(ecommerce_store_dataset[[#This Row],[Delivery_date]],"mmm")</f>
        <v>Jun</v>
      </c>
      <c r="J120" t="s">
        <v>121</v>
      </c>
      <c r="K120" t="s">
        <v>22</v>
      </c>
      <c r="L120" t="s">
        <v>33</v>
      </c>
      <c r="M120" t="s">
        <v>24</v>
      </c>
      <c r="N120">
        <v>62</v>
      </c>
    </row>
    <row r="121" spans="1:14" x14ac:dyDescent="0.25">
      <c r="A121" t="s">
        <v>203</v>
      </c>
      <c r="B121" t="s">
        <v>39</v>
      </c>
      <c r="C121" t="s">
        <v>14</v>
      </c>
      <c r="D121" s="2">
        <v>1217.6600000000001</v>
      </c>
      <c r="E121">
        <v>2</v>
      </c>
      <c r="F121" s="2">
        <f>ecommerce_store_dataset[[#This Row],[price]]*ecommerce_store_dataset[[#This Row],[qty]]</f>
        <v>2435.3200000000002</v>
      </c>
      <c r="G121" s="1">
        <v>45869</v>
      </c>
      <c r="H121" s="1">
        <v>45873</v>
      </c>
      <c r="I121" s="1" t="str">
        <f>TEXT(ecommerce_store_dataset[[#This Row],[Delivery_date]],"mmm")</f>
        <v>Aug</v>
      </c>
      <c r="J121" t="s">
        <v>49</v>
      </c>
      <c r="K121" t="s">
        <v>50</v>
      </c>
      <c r="L121" t="s">
        <v>33</v>
      </c>
      <c r="M121" t="s">
        <v>18</v>
      </c>
      <c r="N121">
        <v>38</v>
      </c>
    </row>
    <row r="122" spans="1:14" x14ac:dyDescent="0.25">
      <c r="A122" t="s">
        <v>204</v>
      </c>
      <c r="B122" t="s">
        <v>133</v>
      </c>
      <c r="C122" t="s">
        <v>68</v>
      </c>
      <c r="D122" s="2">
        <v>548.83000000000004</v>
      </c>
      <c r="E122">
        <v>3</v>
      </c>
      <c r="F122" s="2">
        <f>ecommerce_store_dataset[[#This Row],[price]]*ecommerce_store_dataset[[#This Row],[qty]]</f>
        <v>1646.4900000000002</v>
      </c>
      <c r="G122" s="1">
        <v>45736</v>
      </c>
      <c r="H122" s="1">
        <v>45743</v>
      </c>
      <c r="I122" s="1" t="str">
        <f>TEXT(ecommerce_store_dataset[[#This Row],[Delivery_date]],"mmm")</f>
        <v>Mar</v>
      </c>
      <c r="J122" t="s">
        <v>127</v>
      </c>
      <c r="K122" t="s">
        <v>50</v>
      </c>
      <c r="L122" t="s">
        <v>17</v>
      </c>
      <c r="M122" t="s">
        <v>18</v>
      </c>
      <c r="N122">
        <v>23</v>
      </c>
    </row>
    <row r="123" spans="1:14" x14ac:dyDescent="0.25">
      <c r="A123" t="s">
        <v>205</v>
      </c>
      <c r="B123" t="s">
        <v>142</v>
      </c>
      <c r="C123" t="s">
        <v>68</v>
      </c>
      <c r="D123" s="2">
        <v>608.44000000000005</v>
      </c>
      <c r="E123">
        <v>3</v>
      </c>
      <c r="F123" s="2">
        <f>ecommerce_store_dataset[[#This Row],[price]]*ecommerce_store_dataset[[#This Row],[qty]]</f>
        <v>1825.3200000000002</v>
      </c>
      <c r="G123" s="1">
        <v>45724</v>
      </c>
      <c r="H123" s="1">
        <v>45730</v>
      </c>
      <c r="I123" s="1" t="str">
        <f>TEXT(ecommerce_store_dataset[[#This Row],[Delivery_date]],"mmm")</f>
        <v>Mar</v>
      </c>
      <c r="J123" t="s">
        <v>15</v>
      </c>
      <c r="K123" t="s">
        <v>16</v>
      </c>
      <c r="L123" t="s">
        <v>23</v>
      </c>
      <c r="M123" t="s">
        <v>18</v>
      </c>
      <c r="N123">
        <v>60</v>
      </c>
    </row>
    <row r="124" spans="1:14" x14ac:dyDescent="0.25">
      <c r="A124" t="s">
        <v>206</v>
      </c>
      <c r="B124" t="s">
        <v>129</v>
      </c>
      <c r="C124" t="s">
        <v>14</v>
      </c>
      <c r="D124" s="2">
        <v>1045.5999999999999</v>
      </c>
      <c r="E124">
        <v>4</v>
      </c>
      <c r="F124" s="2">
        <f>ecommerce_store_dataset[[#This Row],[price]]*ecommerce_store_dataset[[#This Row],[qty]]</f>
        <v>4182.3999999999996</v>
      </c>
      <c r="G124" s="1">
        <v>45684</v>
      </c>
      <c r="H124" s="1">
        <v>45688</v>
      </c>
      <c r="I124" s="1" t="str">
        <f>TEXT(ecommerce_store_dataset[[#This Row],[Delivery_date]],"mmm")</f>
        <v>Jan</v>
      </c>
      <c r="J124" t="s">
        <v>147</v>
      </c>
      <c r="K124" t="s">
        <v>22</v>
      </c>
      <c r="L124" t="s">
        <v>41</v>
      </c>
      <c r="M124" t="s">
        <v>24</v>
      </c>
      <c r="N124">
        <v>50</v>
      </c>
    </row>
    <row r="125" spans="1:14" x14ac:dyDescent="0.25">
      <c r="A125" t="s">
        <v>207</v>
      </c>
      <c r="B125" t="s">
        <v>170</v>
      </c>
      <c r="C125" t="s">
        <v>53</v>
      </c>
      <c r="D125" s="2">
        <v>3123.51</v>
      </c>
      <c r="E125">
        <v>2</v>
      </c>
      <c r="F125" s="2">
        <f>ecommerce_store_dataset[[#This Row],[price]]*ecommerce_store_dataset[[#This Row],[qty]]</f>
        <v>6247.02</v>
      </c>
      <c r="G125" s="1">
        <v>45713</v>
      </c>
      <c r="H125" s="1">
        <v>45717</v>
      </c>
      <c r="I125" s="1" t="str">
        <f>TEXT(ecommerce_store_dataset[[#This Row],[Delivery_date]],"mmm")</f>
        <v>Mar</v>
      </c>
      <c r="J125" t="s">
        <v>147</v>
      </c>
      <c r="K125" t="s">
        <v>22</v>
      </c>
      <c r="L125" t="s">
        <v>17</v>
      </c>
      <c r="M125" t="s">
        <v>18</v>
      </c>
      <c r="N125">
        <v>54</v>
      </c>
    </row>
    <row r="126" spans="1:14" x14ac:dyDescent="0.25">
      <c r="A126" t="s">
        <v>208</v>
      </c>
      <c r="B126" t="s">
        <v>81</v>
      </c>
      <c r="C126" t="s">
        <v>53</v>
      </c>
      <c r="D126" s="2">
        <v>3879.07</v>
      </c>
      <c r="E126">
        <v>5</v>
      </c>
      <c r="F126" s="2">
        <f>ecommerce_store_dataset[[#This Row],[price]]*ecommerce_store_dataset[[#This Row],[qty]]</f>
        <v>19395.350000000002</v>
      </c>
      <c r="G126" s="1">
        <v>45972</v>
      </c>
      <c r="H126" s="1">
        <v>45979</v>
      </c>
      <c r="I126" s="1" t="str">
        <f>TEXT(ecommerce_store_dataset[[#This Row],[Delivery_date]],"mmm")</f>
        <v>Nov</v>
      </c>
      <c r="J126" t="s">
        <v>55</v>
      </c>
      <c r="K126" t="s">
        <v>22</v>
      </c>
      <c r="L126" t="s">
        <v>23</v>
      </c>
      <c r="M126" t="s">
        <v>18</v>
      </c>
      <c r="N126">
        <v>62</v>
      </c>
    </row>
    <row r="127" spans="1:14" x14ac:dyDescent="0.25">
      <c r="A127" t="s">
        <v>209</v>
      </c>
      <c r="B127" t="s">
        <v>48</v>
      </c>
      <c r="C127" t="s">
        <v>27</v>
      </c>
      <c r="D127" s="2">
        <v>3935.62</v>
      </c>
      <c r="E127">
        <v>3</v>
      </c>
      <c r="F127" s="2">
        <f>ecommerce_store_dataset[[#This Row],[price]]*ecommerce_store_dataset[[#This Row],[qty]]</f>
        <v>11806.86</v>
      </c>
      <c r="G127" s="1">
        <v>45831</v>
      </c>
      <c r="H127" s="1">
        <v>45835</v>
      </c>
      <c r="I127" s="1" t="str">
        <f>TEXT(ecommerce_store_dataset[[#This Row],[Delivery_date]],"mmm")</f>
        <v>Jun</v>
      </c>
      <c r="J127" t="s">
        <v>46</v>
      </c>
      <c r="K127" t="s">
        <v>16</v>
      </c>
      <c r="L127" t="s">
        <v>30</v>
      </c>
      <c r="M127" t="s">
        <v>18</v>
      </c>
      <c r="N127">
        <v>43</v>
      </c>
    </row>
    <row r="128" spans="1:14" x14ac:dyDescent="0.25">
      <c r="A128" t="s">
        <v>210</v>
      </c>
      <c r="B128" t="s">
        <v>136</v>
      </c>
      <c r="C128" t="s">
        <v>14</v>
      </c>
      <c r="D128" s="2">
        <v>1917.18</v>
      </c>
      <c r="E128">
        <v>1</v>
      </c>
      <c r="F128" s="2">
        <f>ecommerce_store_dataset[[#This Row],[price]]*ecommerce_store_dataset[[#This Row],[qty]]</f>
        <v>1917.18</v>
      </c>
      <c r="G128" s="1">
        <v>45704</v>
      </c>
      <c r="H128" s="1">
        <v>45711</v>
      </c>
      <c r="I128" s="1" t="str">
        <f>TEXT(ecommerce_store_dataset[[#This Row],[Delivery_date]],"mmm")</f>
        <v>Feb</v>
      </c>
      <c r="J128" t="s">
        <v>21</v>
      </c>
      <c r="K128" t="s">
        <v>22</v>
      </c>
      <c r="L128" t="s">
        <v>33</v>
      </c>
      <c r="M128" t="s">
        <v>24</v>
      </c>
      <c r="N128">
        <v>39</v>
      </c>
    </row>
    <row r="129" spans="1:14" x14ac:dyDescent="0.25">
      <c r="A129" t="s">
        <v>211</v>
      </c>
      <c r="B129" t="s">
        <v>95</v>
      </c>
      <c r="C129" t="s">
        <v>53</v>
      </c>
      <c r="D129" s="2">
        <v>1739.67</v>
      </c>
      <c r="E129">
        <v>3</v>
      </c>
      <c r="F129" s="2">
        <f>ecommerce_store_dataset[[#This Row],[price]]*ecommerce_store_dataset[[#This Row],[qty]]</f>
        <v>5219.01</v>
      </c>
      <c r="G129" s="1">
        <v>45948</v>
      </c>
      <c r="H129" s="1">
        <v>45954</v>
      </c>
      <c r="I129" s="1" t="str">
        <f>TEXT(ecommerce_store_dataset[[#This Row],[Delivery_date]],"mmm")</f>
        <v>Oct</v>
      </c>
      <c r="J129" t="s">
        <v>74</v>
      </c>
      <c r="K129" t="s">
        <v>16</v>
      </c>
      <c r="L129" t="s">
        <v>30</v>
      </c>
      <c r="M129" t="s">
        <v>24</v>
      </c>
      <c r="N129">
        <v>57</v>
      </c>
    </row>
    <row r="130" spans="1:14" x14ac:dyDescent="0.25">
      <c r="A130" t="s">
        <v>212</v>
      </c>
      <c r="B130" t="s">
        <v>20</v>
      </c>
      <c r="C130" t="s">
        <v>14</v>
      </c>
      <c r="D130" s="2">
        <v>862.23</v>
      </c>
      <c r="E130">
        <v>4</v>
      </c>
      <c r="F130" s="2">
        <f>ecommerce_store_dataset[[#This Row],[price]]*ecommerce_store_dataset[[#This Row],[qty]]</f>
        <v>3448.92</v>
      </c>
      <c r="G130" s="1">
        <v>45906</v>
      </c>
      <c r="H130" s="1">
        <v>45912</v>
      </c>
      <c r="I130" s="1" t="str">
        <f>TEXT(ecommerce_store_dataset[[#This Row],[Delivery_date]],"mmm")</f>
        <v>Sep</v>
      </c>
      <c r="J130" t="s">
        <v>49</v>
      </c>
      <c r="K130" t="s">
        <v>50</v>
      </c>
      <c r="L130" t="s">
        <v>41</v>
      </c>
      <c r="M130" t="s">
        <v>24</v>
      </c>
      <c r="N130">
        <v>50</v>
      </c>
    </row>
    <row r="131" spans="1:14" x14ac:dyDescent="0.25">
      <c r="A131" t="s">
        <v>213</v>
      </c>
      <c r="B131" t="s">
        <v>62</v>
      </c>
      <c r="C131" t="s">
        <v>14</v>
      </c>
      <c r="D131" s="2">
        <v>1217.31</v>
      </c>
      <c r="E131">
        <v>3</v>
      </c>
      <c r="F131" s="2">
        <f>ecommerce_store_dataset[[#This Row],[price]]*ecommerce_store_dataset[[#This Row],[qty]]</f>
        <v>3651.93</v>
      </c>
      <c r="G131" s="1">
        <v>46005</v>
      </c>
      <c r="H131" s="1">
        <v>46012</v>
      </c>
      <c r="I131" s="1" t="str">
        <f>TEXT(ecommerce_store_dataset[[#This Row],[Delivery_date]],"mmm")</f>
        <v>Dec</v>
      </c>
      <c r="J131" t="s">
        <v>145</v>
      </c>
      <c r="K131" t="s">
        <v>22</v>
      </c>
      <c r="L131" t="s">
        <v>23</v>
      </c>
      <c r="M131" t="s">
        <v>18</v>
      </c>
      <c r="N131">
        <v>20</v>
      </c>
    </row>
    <row r="132" spans="1:14" x14ac:dyDescent="0.25">
      <c r="A132" t="s">
        <v>214</v>
      </c>
      <c r="B132" t="s">
        <v>81</v>
      </c>
      <c r="C132" t="s">
        <v>53</v>
      </c>
      <c r="D132" s="2">
        <v>4437.63</v>
      </c>
      <c r="E132">
        <v>1</v>
      </c>
      <c r="F132" s="2">
        <f>ecommerce_store_dataset[[#This Row],[price]]*ecommerce_store_dataset[[#This Row],[qty]]</f>
        <v>4437.63</v>
      </c>
      <c r="G132" s="1">
        <v>45661</v>
      </c>
      <c r="H132" s="1">
        <v>45664</v>
      </c>
      <c r="I132" s="1" t="str">
        <f>TEXT(ecommerce_store_dataset[[#This Row],[Delivery_date]],"mmm")</f>
        <v>Jan</v>
      </c>
      <c r="J132" t="s">
        <v>40</v>
      </c>
      <c r="K132" t="s">
        <v>29</v>
      </c>
      <c r="L132" t="s">
        <v>30</v>
      </c>
      <c r="M132" t="s">
        <v>18</v>
      </c>
      <c r="N132">
        <v>36</v>
      </c>
    </row>
    <row r="133" spans="1:14" x14ac:dyDescent="0.25">
      <c r="A133" t="s">
        <v>215</v>
      </c>
      <c r="B133" t="s">
        <v>48</v>
      </c>
      <c r="C133" t="s">
        <v>27</v>
      </c>
      <c r="D133" s="2">
        <v>1604.35</v>
      </c>
      <c r="E133">
        <v>4</v>
      </c>
      <c r="F133" s="2">
        <f>ecommerce_store_dataset[[#This Row],[price]]*ecommerce_store_dataset[[#This Row],[qty]]</f>
        <v>6417.4</v>
      </c>
      <c r="G133" s="1">
        <v>45747</v>
      </c>
      <c r="H133" s="1">
        <v>45750</v>
      </c>
      <c r="I133" s="1" t="str">
        <f>TEXT(ecommerce_store_dataset[[#This Row],[Delivery_date]],"mmm")</f>
        <v>Apr</v>
      </c>
      <c r="J133" t="s">
        <v>65</v>
      </c>
      <c r="K133" t="s">
        <v>50</v>
      </c>
      <c r="L133" t="s">
        <v>30</v>
      </c>
      <c r="M133" t="s">
        <v>18</v>
      </c>
      <c r="N133">
        <v>60</v>
      </c>
    </row>
    <row r="134" spans="1:14" x14ac:dyDescent="0.25">
      <c r="A134" t="s">
        <v>216</v>
      </c>
      <c r="B134" t="s">
        <v>48</v>
      </c>
      <c r="C134" t="s">
        <v>27</v>
      </c>
      <c r="D134" s="2">
        <v>6860.46</v>
      </c>
      <c r="E134">
        <v>1</v>
      </c>
      <c r="F134" s="2">
        <f>ecommerce_store_dataset[[#This Row],[price]]*ecommerce_store_dataset[[#This Row],[qty]]</f>
        <v>6860.46</v>
      </c>
      <c r="G134" s="1">
        <v>45881</v>
      </c>
      <c r="H134" s="1">
        <v>45883</v>
      </c>
      <c r="I134" s="1" t="str">
        <f>TEXT(ecommerce_store_dataset[[#This Row],[Delivery_date]],"mmm")</f>
        <v>Aug</v>
      </c>
      <c r="J134" t="s">
        <v>127</v>
      </c>
      <c r="K134" t="s">
        <v>50</v>
      </c>
      <c r="L134" t="s">
        <v>41</v>
      </c>
      <c r="M134" t="s">
        <v>18</v>
      </c>
      <c r="N134">
        <v>54</v>
      </c>
    </row>
    <row r="135" spans="1:14" x14ac:dyDescent="0.25">
      <c r="A135" t="s">
        <v>217</v>
      </c>
      <c r="B135" t="s">
        <v>139</v>
      </c>
      <c r="C135" t="s">
        <v>68</v>
      </c>
      <c r="D135" s="2">
        <v>530.11</v>
      </c>
      <c r="E135">
        <v>3</v>
      </c>
      <c r="F135" s="2">
        <f>ecommerce_store_dataset[[#This Row],[price]]*ecommerce_store_dataset[[#This Row],[qty]]</f>
        <v>1590.33</v>
      </c>
      <c r="G135" s="1">
        <v>45716</v>
      </c>
      <c r="H135" s="1">
        <v>45721</v>
      </c>
      <c r="I135" s="1" t="str">
        <f>TEXT(ecommerce_store_dataset[[#This Row],[Delivery_date]],"mmm")</f>
        <v>Mar</v>
      </c>
      <c r="J135" t="s">
        <v>109</v>
      </c>
      <c r="K135" t="s">
        <v>16</v>
      </c>
      <c r="L135" t="s">
        <v>30</v>
      </c>
      <c r="M135" t="s">
        <v>18</v>
      </c>
      <c r="N135">
        <v>57</v>
      </c>
    </row>
    <row r="136" spans="1:14" x14ac:dyDescent="0.25">
      <c r="A136" t="s">
        <v>218</v>
      </c>
      <c r="B136" t="s">
        <v>76</v>
      </c>
      <c r="C136" t="s">
        <v>68</v>
      </c>
      <c r="D136" s="2">
        <v>567.21</v>
      </c>
      <c r="E136">
        <v>3</v>
      </c>
      <c r="F136" s="2">
        <f>ecommerce_store_dataset[[#This Row],[price]]*ecommerce_store_dataset[[#This Row],[qty]]</f>
        <v>1701.63</v>
      </c>
      <c r="G136" s="1">
        <v>45703</v>
      </c>
      <c r="H136" s="1">
        <v>45708</v>
      </c>
      <c r="I136" s="1" t="str">
        <f>TEXT(ecommerce_store_dataset[[#This Row],[Delivery_date]],"mmm")</f>
        <v>Feb</v>
      </c>
      <c r="J136" t="s">
        <v>46</v>
      </c>
      <c r="K136" t="s">
        <v>16</v>
      </c>
      <c r="L136" t="s">
        <v>33</v>
      </c>
      <c r="M136" t="s">
        <v>18</v>
      </c>
      <c r="N136">
        <v>51</v>
      </c>
    </row>
    <row r="137" spans="1:14" x14ac:dyDescent="0.25">
      <c r="A137" t="s">
        <v>219</v>
      </c>
      <c r="B137" t="s">
        <v>129</v>
      </c>
      <c r="C137" t="s">
        <v>14</v>
      </c>
      <c r="D137" s="2">
        <v>2208.6799999999998</v>
      </c>
      <c r="E137">
        <v>3</v>
      </c>
      <c r="F137" s="2">
        <f>ecommerce_store_dataset[[#This Row],[price]]*ecommerce_store_dataset[[#This Row],[qty]]</f>
        <v>6626.0399999999991</v>
      </c>
      <c r="G137" s="1">
        <v>45771</v>
      </c>
      <c r="H137" s="1">
        <v>45775</v>
      </c>
      <c r="I137" s="1" t="str">
        <f>TEXT(ecommerce_store_dataset[[#This Row],[Delivery_date]],"mmm")</f>
        <v>Apr</v>
      </c>
      <c r="J137" t="s">
        <v>36</v>
      </c>
      <c r="K137" t="s">
        <v>37</v>
      </c>
      <c r="L137" t="s">
        <v>23</v>
      </c>
      <c r="M137" t="s">
        <v>18</v>
      </c>
      <c r="N137">
        <v>51</v>
      </c>
    </row>
    <row r="138" spans="1:14" x14ac:dyDescent="0.25">
      <c r="A138" t="s">
        <v>220</v>
      </c>
      <c r="B138" t="s">
        <v>95</v>
      </c>
      <c r="C138" t="s">
        <v>53</v>
      </c>
      <c r="D138" s="2">
        <v>1897.91</v>
      </c>
      <c r="E138">
        <v>2</v>
      </c>
      <c r="F138" s="2">
        <f>ecommerce_store_dataset[[#This Row],[price]]*ecommerce_store_dataset[[#This Row],[qty]]</f>
        <v>3795.82</v>
      </c>
      <c r="G138" s="1">
        <v>45778</v>
      </c>
      <c r="H138" s="1">
        <v>45780</v>
      </c>
      <c r="I138" s="1" t="str">
        <f>TEXT(ecommerce_store_dataset[[#This Row],[Delivery_date]],"mmm")</f>
        <v>May</v>
      </c>
      <c r="J138" t="s">
        <v>101</v>
      </c>
      <c r="K138" t="s">
        <v>37</v>
      </c>
      <c r="L138" t="s">
        <v>30</v>
      </c>
      <c r="M138" t="s">
        <v>24</v>
      </c>
      <c r="N138">
        <v>27</v>
      </c>
    </row>
    <row r="139" spans="1:14" x14ac:dyDescent="0.25">
      <c r="A139" t="s">
        <v>221</v>
      </c>
      <c r="B139" t="s">
        <v>136</v>
      </c>
      <c r="C139" t="s">
        <v>14</v>
      </c>
      <c r="D139" s="2">
        <v>2390.41</v>
      </c>
      <c r="E139">
        <v>4</v>
      </c>
      <c r="F139" s="2">
        <f>ecommerce_store_dataset[[#This Row],[price]]*ecommerce_store_dataset[[#This Row],[qty]]</f>
        <v>9561.64</v>
      </c>
      <c r="G139" s="1">
        <v>45895</v>
      </c>
      <c r="H139" s="1">
        <v>45901</v>
      </c>
      <c r="I139" s="1" t="str">
        <f>TEXT(ecommerce_store_dataset[[#This Row],[Delivery_date]],"mmm")</f>
        <v>Sep</v>
      </c>
      <c r="J139" t="s">
        <v>145</v>
      </c>
      <c r="K139" t="s">
        <v>22</v>
      </c>
      <c r="L139" t="s">
        <v>23</v>
      </c>
      <c r="M139" t="s">
        <v>18</v>
      </c>
      <c r="N139">
        <v>57</v>
      </c>
    </row>
    <row r="140" spans="1:14" x14ac:dyDescent="0.25">
      <c r="A140" t="s">
        <v>222</v>
      </c>
      <c r="B140" t="s">
        <v>26</v>
      </c>
      <c r="C140" t="s">
        <v>27</v>
      </c>
      <c r="D140" s="2">
        <v>14608.14</v>
      </c>
      <c r="E140">
        <v>3</v>
      </c>
      <c r="F140" s="2">
        <f>ecommerce_store_dataset[[#This Row],[price]]*ecommerce_store_dataset[[#This Row],[qty]]</f>
        <v>43824.42</v>
      </c>
      <c r="G140" s="1">
        <v>45735</v>
      </c>
      <c r="H140" s="1">
        <v>45740</v>
      </c>
      <c r="I140" s="1" t="str">
        <f>TEXT(ecommerce_store_dataset[[#This Row],[Delivery_date]],"mmm")</f>
        <v>Mar</v>
      </c>
      <c r="J140" t="s">
        <v>78</v>
      </c>
      <c r="K140" t="s">
        <v>16</v>
      </c>
      <c r="L140" t="s">
        <v>33</v>
      </c>
      <c r="M140" t="s">
        <v>18</v>
      </c>
      <c r="N140">
        <v>35</v>
      </c>
    </row>
    <row r="141" spans="1:14" x14ac:dyDescent="0.25">
      <c r="A141" t="s">
        <v>223</v>
      </c>
      <c r="B141" t="s">
        <v>62</v>
      </c>
      <c r="C141" t="s">
        <v>14</v>
      </c>
      <c r="D141" s="2">
        <v>1391.51</v>
      </c>
      <c r="E141">
        <v>3</v>
      </c>
      <c r="F141" s="2">
        <f>ecommerce_store_dataset[[#This Row],[price]]*ecommerce_store_dataset[[#This Row],[qty]]</f>
        <v>4174.53</v>
      </c>
      <c r="G141" s="1">
        <v>45894</v>
      </c>
      <c r="H141" s="1">
        <v>45899</v>
      </c>
      <c r="I141" s="1" t="str">
        <f>TEXT(ecommerce_store_dataset[[#This Row],[Delivery_date]],"mmm")</f>
        <v>Aug</v>
      </c>
      <c r="J141" t="s">
        <v>74</v>
      </c>
      <c r="K141" t="s">
        <v>16</v>
      </c>
      <c r="L141" t="s">
        <v>41</v>
      </c>
      <c r="M141" t="s">
        <v>18</v>
      </c>
      <c r="N141">
        <v>22</v>
      </c>
    </row>
    <row r="142" spans="1:14" x14ac:dyDescent="0.25">
      <c r="A142" t="s">
        <v>224</v>
      </c>
      <c r="B142" t="s">
        <v>129</v>
      </c>
      <c r="C142" t="s">
        <v>14</v>
      </c>
      <c r="D142" s="2">
        <v>1291.0999999999999</v>
      </c>
      <c r="E142">
        <v>5</v>
      </c>
      <c r="F142" s="2">
        <f>ecommerce_store_dataset[[#This Row],[price]]*ecommerce_store_dataset[[#This Row],[qty]]</f>
        <v>6455.5</v>
      </c>
      <c r="G142" s="1">
        <v>45679</v>
      </c>
      <c r="H142" s="1">
        <v>45684</v>
      </c>
      <c r="I142" s="1" t="str">
        <f>TEXT(ecommerce_store_dataset[[#This Row],[Delivery_date]],"mmm")</f>
        <v>Jan</v>
      </c>
      <c r="J142" t="s">
        <v>21</v>
      </c>
      <c r="K142" t="s">
        <v>22</v>
      </c>
      <c r="L142" t="s">
        <v>41</v>
      </c>
      <c r="M142" t="s">
        <v>18</v>
      </c>
      <c r="N142">
        <v>50</v>
      </c>
    </row>
    <row r="143" spans="1:14" x14ac:dyDescent="0.25">
      <c r="A143" t="s">
        <v>225</v>
      </c>
      <c r="B143" t="s">
        <v>119</v>
      </c>
      <c r="C143" t="s">
        <v>53</v>
      </c>
      <c r="D143" s="2">
        <v>2296.6</v>
      </c>
      <c r="E143">
        <v>3</v>
      </c>
      <c r="F143" s="2">
        <f>ecommerce_store_dataset[[#This Row],[price]]*ecommerce_store_dataset[[#This Row],[qty]]</f>
        <v>6889.7999999999993</v>
      </c>
      <c r="G143" s="1">
        <v>46023</v>
      </c>
      <c r="H143" s="1">
        <v>46025</v>
      </c>
      <c r="I143" s="1" t="str">
        <f>TEXT(ecommerce_store_dataset[[#This Row],[Delivery_date]],"mmm")</f>
        <v>Jan</v>
      </c>
      <c r="J143" t="s">
        <v>21</v>
      </c>
      <c r="K143" t="s">
        <v>22</v>
      </c>
      <c r="L143" t="s">
        <v>17</v>
      </c>
      <c r="M143" t="s">
        <v>24</v>
      </c>
      <c r="N143">
        <v>46</v>
      </c>
    </row>
    <row r="144" spans="1:14" x14ac:dyDescent="0.25">
      <c r="A144" t="s">
        <v>226</v>
      </c>
      <c r="B144" t="s">
        <v>86</v>
      </c>
      <c r="C144" t="s">
        <v>68</v>
      </c>
      <c r="D144" s="2">
        <v>442.06</v>
      </c>
      <c r="E144">
        <v>2</v>
      </c>
      <c r="F144" s="2">
        <f>ecommerce_store_dataset[[#This Row],[price]]*ecommerce_store_dataset[[#This Row],[qty]]</f>
        <v>884.12</v>
      </c>
      <c r="G144" s="1">
        <v>45844</v>
      </c>
      <c r="H144" s="1">
        <v>45848</v>
      </c>
      <c r="I144" s="1" t="str">
        <f>TEXT(ecommerce_store_dataset[[#This Row],[Delivery_date]],"mmm")</f>
        <v>Jul</v>
      </c>
      <c r="J144" t="s">
        <v>82</v>
      </c>
      <c r="K144" t="s">
        <v>29</v>
      </c>
      <c r="L144" t="s">
        <v>33</v>
      </c>
      <c r="M144" t="s">
        <v>18</v>
      </c>
      <c r="N144">
        <v>61</v>
      </c>
    </row>
    <row r="145" spans="1:14" x14ac:dyDescent="0.25">
      <c r="A145" t="s">
        <v>227</v>
      </c>
      <c r="B145" t="s">
        <v>62</v>
      </c>
      <c r="C145" t="s">
        <v>14</v>
      </c>
      <c r="D145" s="2">
        <v>398.3</v>
      </c>
      <c r="E145">
        <v>1</v>
      </c>
      <c r="F145" s="2">
        <f>ecommerce_store_dataset[[#This Row],[price]]*ecommerce_store_dataset[[#This Row],[qty]]</f>
        <v>398.3</v>
      </c>
      <c r="G145" s="1">
        <v>45943</v>
      </c>
      <c r="H145" s="1">
        <v>45950</v>
      </c>
      <c r="I145" s="1" t="str">
        <f>TEXT(ecommerce_store_dataset[[#This Row],[Delivery_date]],"mmm")</f>
        <v>Oct</v>
      </c>
      <c r="J145" t="s">
        <v>69</v>
      </c>
      <c r="K145" t="s">
        <v>50</v>
      </c>
      <c r="L145" t="s">
        <v>41</v>
      </c>
      <c r="M145" t="s">
        <v>18</v>
      </c>
      <c r="N145">
        <v>60</v>
      </c>
    </row>
    <row r="146" spans="1:14" x14ac:dyDescent="0.25">
      <c r="A146" t="s">
        <v>228</v>
      </c>
      <c r="B146" t="s">
        <v>95</v>
      </c>
      <c r="C146" t="s">
        <v>53</v>
      </c>
      <c r="D146" s="2">
        <v>816.82</v>
      </c>
      <c r="E146">
        <v>2</v>
      </c>
      <c r="F146" s="2">
        <f>ecommerce_store_dataset[[#This Row],[price]]*ecommerce_store_dataset[[#This Row],[qty]]</f>
        <v>1633.64</v>
      </c>
      <c r="G146" s="1">
        <v>45837</v>
      </c>
      <c r="H146" s="1">
        <v>45841</v>
      </c>
      <c r="I146" s="1" t="str">
        <f>TEXT(ecommerce_store_dataset[[#This Row],[Delivery_date]],"mmm")</f>
        <v>Jul</v>
      </c>
      <c r="J146" t="s">
        <v>90</v>
      </c>
      <c r="K146" t="s">
        <v>50</v>
      </c>
      <c r="L146" t="s">
        <v>23</v>
      </c>
      <c r="M146" t="s">
        <v>18</v>
      </c>
      <c r="N146">
        <v>23</v>
      </c>
    </row>
    <row r="147" spans="1:14" x14ac:dyDescent="0.25">
      <c r="A147" t="s">
        <v>229</v>
      </c>
      <c r="B147" t="s">
        <v>57</v>
      </c>
      <c r="C147" t="s">
        <v>27</v>
      </c>
      <c r="D147" s="2">
        <v>6585.17</v>
      </c>
      <c r="E147">
        <v>3</v>
      </c>
      <c r="F147" s="2">
        <f>ecommerce_store_dataset[[#This Row],[price]]*ecommerce_store_dataset[[#This Row],[qty]]</f>
        <v>19755.510000000002</v>
      </c>
      <c r="G147" s="1">
        <v>45723</v>
      </c>
      <c r="H147" s="1">
        <v>45730</v>
      </c>
      <c r="I147" s="1" t="str">
        <f>TEXT(ecommerce_store_dataset[[#This Row],[Delivery_date]],"mmm")</f>
        <v>Mar</v>
      </c>
      <c r="J147" t="s">
        <v>55</v>
      </c>
      <c r="K147" t="s">
        <v>22</v>
      </c>
      <c r="L147" t="s">
        <v>33</v>
      </c>
      <c r="M147" t="s">
        <v>18</v>
      </c>
      <c r="N147">
        <v>19</v>
      </c>
    </row>
    <row r="148" spans="1:14" x14ac:dyDescent="0.25">
      <c r="A148" t="s">
        <v>230</v>
      </c>
      <c r="B148" t="s">
        <v>89</v>
      </c>
      <c r="C148" t="s">
        <v>27</v>
      </c>
      <c r="D148" s="2">
        <v>3933.55</v>
      </c>
      <c r="E148">
        <v>2</v>
      </c>
      <c r="F148" s="2">
        <f>ecommerce_store_dataset[[#This Row],[price]]*ecommerce_store_dataset[[#This Row],[qty]]</f>
        <v>7867.1</v>
      </c>
      <c r="G148" s="1">
        <v>45832</v>
      </c>
      <c r="H148" s="1">
        <v>45837</v>
      </c>
      <c r="I148" s="1" t="str">
        <f>TEXT(ecommerce_store_dataset[[#This Row],[Delivery_date]],"mmm")</f>
        <v>Jun</v>
      </c>
      <c r="J148" t="s">
        <v>116</v>
      </c>
      <c r="K148" t="s">
        <v>37</v>
      </c>
      <c r="L148" t="s">
        <v>30</v>
      </c>
      <c r="M148" t="s">
        <v>24</v>
      </c>
      <c r="N148">
        <v>36</v>
      </c>
    </row>
    <row r="149" spans="1:14" x14ac:dyDescent="0.25">
      <c r="A149" t="s">
        <v>231</v>
      </c>
      <c r="B149" t="s">
        <v>13</v>
      </c>
      <c r="C149" t="s">
        <v>14</v>
      </c>
      <c r="D149" s="2">
        <v>1739.34</v>
      </c>
      <c r="E149">
        <v>5</v>
      </c>
      <c r="F149" s="2">
        <f>ecommerce_store_dataset[[#This Row],[price]]*ecommerce_store_dataset[[#This Row],[qty]]</f>
        <v>8696.6999999999989</v>
      </c>
      <c r="G149" s="1">
        <v>45725</v>
      </c>
      <c r="H149" s="1">
        <v>45731</v>
      </c>
      <c r="I149" s="1" t="str">
        <f>TEXT(ecommerce_store_dataset[[#This Row],[Delivery_date]],"mmm")</f>
        <v>Mar</v>
      </c>
      <c r="J149" t="s">
        <v>90</v>
      </c>
      <c r="K149" t="s">
        <v>50</v>
      </c>
      <c r="L149" t="s">
        <v>30</v>
      </c>
      <c r="M149" t="s">
        <v>24</v>
      </c>
      <c r="N149">
        <v>62</v>
      </c>
    </row>
    <row r="150" spans="1:14" x14ac:dyDescent="0.25">
      <c r="A150" t="s">
        <v>232</v>
      </c>
      <c r="B150" t="s">
        <v>73</v>
      </c>
      <c r="C150" t="s">
        <v>53</v>
      </c>
      <c r="D150" s="2">
        <v>665.21</v>
      </c>
      <c r="E150">
        <v>3</v>
      </c>
      <c r="F150" s="2">
        <f>ecommerce_store_dataset[[#This Row],[price]]*ecommerce_store_dataset[[#This Row],[qty]]</f>
        <v>1995.63</v>
      </c>
      <c r="G150" s="1">
        <v>46004</v>
      </c>
      <c r="H150" s="1">
        <v>46011</v>
      </c>
      <c r="I150" s="1" t="str">
        <f>TEXT(ecommerce_store_dataset[[#This Row],[Delivery_date]],"mmm")</f>
        <v>Dec</v>
      </c>
      <c r="J150" t="s">
        <v>97</v>
      </c>
      <c r="K150" t="s">
        <v>37</v>
      </c>
      <c r="L150" t="s">
        <v>23</v>
      </c>
      <c r="M150" t="s">
        <v>24</v>
      </c>
      <c r="N150">
        <v>65</v>
      </c>
    </row>
    <row r="151" spans="1:14" x14ac:dyDescent="0.25">
      <c r="A151" t="s">
        <v>233</v>
      </c>
      <c r="B151" t="s">
        <v>67</v>
      </c>
      <c r="C151" t="s">
        <v>68</v>
      </c>
      <c r="D151" s="2">
        <v>450.51</v>
      </c>
      <c r="E151">
        <v>3</v>
      </c>
      <c r="F151" s="2">
        <f>ecommerce_store_dataset[[#This Row],[price]]*ecommerce_store_dataset[[#This Row],[qty]]</f>
        <v>1351.53</v>
      </c>
      <c r="G151" s="1">
        <v>45898</v>
      </c>
      <c r="H151" s="1">
        <v>45901</v>
      </c>
      <c r="I151" s="1" t="str">
        <f>TEXT(ecommerce_store_dataset[[#This Row],[Delivery_date]],"mmm")</f>
        <v>Sep</v>
      </c>
      <c r="J151" t="s">
        <v>59</v>
      </c>
      <c r="K151" t="s">
        <v>29</v>
      </c>
      <c r="L151" t="s">
        <v>33</v>
      </c>
      <c r="M151" t="s">
        <v>24</v>
      </c>
      <c r="N151">
        <v>36</v>
      </c>
    </row>
    <row r="152" spans="1:14" x14ac:dyDescent="0.25">
      <c r="A152" t="s">
        <v>234</v>
      </c>
      <c r="B152" t="s">
        <v>86</v>
      </c>
      <c r="C152" t="s">
        <v>68</v>
      </c>
      <c r="D152" s="2">
        <v>445.59</v>
      </c>
      <c r="E152">
        <v>2</v>
      </c>
      <c r="F152" s="2">
        <f>ecommerce_store_dataset[[#This Row],[price]]*ecommerce_store_dataset[[#This Row],[qty]]</f>
        <v>891.18</v>
      </c>
      <c r="G152" s="1">
        <v>45760</v>
      </c>
      <c r="H152" s="1">
        <v>45766</v>
      </c>
      <c r="I152" s="1" t="str">
        <f>TEXT(ecommerce_store_dataset[[#This Row],[Delivery_date]],"mmm")</f>
        <v>Apr</v>
      </c>
      <c r="J152" t="s">
        <v>101</v>
      </c>
      <c r="K152" t="s">
        <v>37</v>
      </c>
      <c r="L152" t="s">
        <v>17</v>
      </c>
      <c r="M152" t="s">
        <v>18</v>
      </c>
      <c r="N152">
        <v>41</v>
      </c>
    </row>
    <row r="153" spans="1:14" x14ac:dyDescent="0.25">
      <c r="A153" t="s">
        <v>235</v>
      </c>
      <c r="B153" t="s">
        <v>20</v>
      </c>
      <c r="C153" t="s">
        <v>14</v>
      </c>
      <c r="D153" s="2">
        <v>891.39</v>
      </c>
      <c r="E153">
        <v>2</v>
      </c>
      <c r="F153" s="2">
        <f>ecommerce_store_dataset[[#This Row],[price]]*ecommerce_store_dataset[[#This Row],[qty]]</f>
        <v>1782.78</v>
      </c>
      <c r="G153" s="1">
        <v>45797</v>
      </c>
      <c r="H153" s="1">
        <v>45802</v>
      </c>
      <c r="I153" s="1" t="str">
        <f>TEXT(ecommerce_store_dataset[[#This Row],[Delivery_date]],"mmm")</f>
        <v>May</v>
      </c>
      <c r="J153" t="s">
        <v>21</v>
      </c>
      <c r="K153" t="s">
        <v>22</v>
      </c>
      <c r="L153" t="s">
        <v>33</v>
      </c>
      <c r="M153" t="s">
        <v>24</v>
      </c>
      <c r="N153">
        <v>32</v>
      </c>
    </row>
    <row r="154" spans="1:14" x14ac:dyDescent="0.25">
      <c r="A154" t="s">
        <v>236</v>
      </c>
      <c r="B154" t="s">
        <v>133</v>
      </c>
      <c r="C154" t="s">
        <v>68</v>
      </c>
      <c r="D154" s="2">
        <v>747.85</v>
      </c>
      <c r="E154">
        <v>4</v>
      </c>
      <c r="F154" s="2">
        <f>ecommerce_store_dataset[[#This Row],[price]]*ecommerce_store_dataset[[#This Row],[qty]]</f>
        <v>2991.4</v>
      </c>
      <c r="G154" s="1">
        <v>45685</v>
      </c>
      <c r="H154" s="1">
        <v>45690</v>
      </c>
      <c r="I154" s="1" t="str">
        <f>TEXT(ecommerce_store_dataset[[#This Row],[Delivery_date]],"mmm")</f>
        <v>Feb</v>
      </c>
      <c r="J154" t="s">
        <v>147</v>
      </c>
      <c r="K154" t="s">
        <v>22</v>
      </c>
      <c r="L154" t="s">
        <v>30</v>
      </c>
      <c r="M154" t="s">
        <v>24</v>
      </c>
      <c r="N154">
        <v>23</v>
      </c>
    </row>
    <row r="155" spans="1:14" x14ac:dyDescent="0.25">
      <c r="A155" t="s">
        <v>237</v>
      </c>
      <c r="B155" t="s">
        <v>150</v>
      </c>
      <c r="C155" t="s">
        <v>27</v>
      </c>
      <c r="D155" s="2">
        <v>1880.53</v>
      </c>
      <c r="E155">
        <v>1</v>
      </c>
      <c r="F155" s="2">
        <f>ecommerce_store_dataset[[#This Row],[price]]*ecommerce_store_dataset[[#This Row],[qty]]</f>
        <v>1880.53</v>
      </c>
      <c r="G155" s="1">
        <v>46023</v>
      </c>
      <c r="H155" s="1">
        <v>46030</v>
      </c>
      <c r="I155" s="1" t="str">
        <f>TEXT(ecommerce_store_dataset[[#This Row],[Delivery_date]],"mmm")</f>
        <v>Jan</v>
      </c>
      <c r="J155" t="s">
        <v>40</v>
      </c>
      <c r="K155" t="s">
        <v>29</v>
      </c>
      <c r="L155" t="s">
        <v>30</v>
      </c>
      <c r="M155" t="s">
        <v>24</v>
      </c>
      <c r="N155">
        <v>48</v>
      </c>
    </row>
    <row r="156" spans="1:14" x14ac:dyDescent="0.25">
      <c r="A156" t="s">
        <v>238</v>
      </c>
      <c r="B156" t="s">
        <v>73</v>
      </c>
      <c r="C156" t="s">
        <v>53</v>
      </c>
      <c r="D156" s="2">
        <v>2288.89</v>
      </c>
      <c r="E156">
        <v>1</v>
      </c>
      <c r="F156" s="2">
        <f>ecommerce_store_dataset[[#This Row],[price]]*ecommerce_store_dataset[[#This Row],[qty]]</f>
        <v>2288.89</v>
      </c>
      <c r="G156" s="1">
        <v>45698</v>
      </c>
      <c r="H156" s="1">
        <v>45700</v>
      </c>
      <c r="I156" s="1" t="str">
        <f>TEXT(ecommerce_store_dataset[[#This Row],[Delivery_date]],"mmm")</f>
        <v>Feb</v>
      </c>
      <c r="J156" t="s">
        <v>40</v>
      </c>
      <c r="K156" t="s">
        <v>29</v>
      </c>
      <c r="L156" t="s">
        <v>30</v>
      </c>
      <c r="M156" t="s">
        <v>18</v>
      </c>
      <c r="N156">
        <v>64</v>
      </c>
    </row>
    <row r="157" spans="1:14" x14ac:dyDescent="0.25">
      <c r="A157" t="s">
        <v>239</v>
      </c>
      <c r="B157" t="s">
        <v>142</v>
      </c>
      <c r="C157" t="s">
        <v>68</v>
      </c>
      <c r="D157" s="2">
        <v>632.13</v>
      </c>
      <c r="E157">
        <v>2</v>
      </c>
      <c r="F157" s="2">
        <f>ecommerce_store_dataset[[#This Row],[price]]*ecommerce_store_dataset[[#This Row],[qty]]</f>
        <v>1264.26</v>
      </c>
      <c r="G157" s="1">
        <v>45812</v>
      </c>
      <c r="H157" s="1">
        <v>45814</v>
      </c>
      <c r="I157" s="1" t="str">
        <f>TEXT(ecommerce_store_dataset[[#This Row],[Delivery_date]],"mmm")</f>
        <v>Jun</v>
      </c>
      <c r="J157" t="s">
        <v>46</v>
      </c>
      <c r="K157" t="s">
        <v>16</v>
      </c>
      <c r="L157" t="s">
        <v>33</v>
      </c>
      <c r="M157" t="s">
        <v>18</v>
      </c>
      <c r="N157">
        <v>57</v>
      </c>
    </row>
    <row r="158" spans="1:14" x14ac:dyDescent="0.25">
      <c r="A158" t="s">
        <v>240</v>
      </c>
      <c r="B158" t="s">
        <v>142</v>
      </c>
      <c r="C158" t="s">
        <v>68</v>
      </c>
      <c r="D158" s="2">
        <v>133.13999999999999</v>
      </c>
      <c r="E158">
        <v>4</v>
      </c>
      <c r="F158" s="2">
        <f>ecommerce_store_dataset[[#This Row],[price]]*ecommerce_store_dataset[[#This Row],[qty]]</f>
        <v>532.55999999999995</v>
      </c>
      <c r="G158" s="1">
        <v>45963</v>
      </c>
      <c r="H158" s="1">
        <v>45969</v>
      </c>
      <c r="I158" s="1" t="str">
        <f>TEXT(ecommerce_store_dataset[[#This Row],[Delivery_date]],"mmm")</f>
        <v>Nov</v>
      </c>
      <c r="J158" t="s">
        <v>15</v>
      </c>
      <c r="K158" t="s">
        <v>16</v>
      </c>
      <c r="L158" t="s">
        <v>23</v>
      </c>
      <c r="M158" t="s">
        <v>24</v>
      </c>
      <c r="N158">
        <v>27</v>
      </c>
    </row>
    <row r="159" spans="1:14" x14ac:dyDescent="0.25">
      <c r="A159" t="s">
        <v>241</v>
      </c>
      <c r="B159" t="s">
        <v>111</v>
      </c>
      <c r="C159" t="s">
        <v>27</v>
      </c>
      <c r="D159" s="2">
        <v>1521.12</v>
      </c>
      <c r="E159">
        <v>3</v>
      </c>
      <c r="F159" s="2">
        <f>ecommerce_store_dataset[[#This Row],[price]]*ecommerce_store_dataset[[#This Row],[qty]]</f>
        <v>4563.3599999999997</v>
      </c>
      <c r="G159" s="1">
        <v>45781</v>
      </c>
      <c r="H159" s="1">
        <v>45787</v>
      </c>
      <c r="I159" s="1" t="str">
        <f>TEXT(ecommerce_store_dataset[[#This Row],[Delivery_date]],"mmm")</f>
        <v>May</v>
      </c>
      <c r="J159" t="s">
        <v>90</v>
      </c>
      <c r="K159" t="s">
        <v>50</v>
      </c>
      <c r="L159" t="s">
        <v>17</v>
      </c>
      <c r="M159" t="s">
        <v>18</v>
      </c>
      <c r="N159">
        <v>41</v>
      </c>
    </row>
    <row r="160" spans="1:14" x14ac:dyDescent="0.25">
      <c r="A160" t="s">
        <v>242</v>
      </c>
      <c r="B160" t="s">
        <v>13</v>
      </c>
      <c r="C160" t="s">
        <v>14</v>
      </c>
      <c r="D160" s="2">
        <v>1128.52</v>
      </c>
      <c r="E160">
        <v>4</v>
      </c>
      <c r="F160" s="2">
        <f>ecommerce_store_dataset[[#This Row],[price]]*ecommerce_store_dataset[[#This Row],[qty]]</f>
        <v>4514.08</v>
      </c>
      <c r="G160" s="1">
        <v>45680</v>
      </c>
      <c r="H160" s="1">
        <v>45687</v>
      </c>
      <c r="I160" s="1" t="str">
        <f>TEXT(ecommerce_store_dataset[[#This Row],[Delivery_date]],"mmm")</f>
        <v>Jan</v>
      </c>
      <c r="J160" t="s">
        <v>69</v>
      </c>
      <c r="K160" t="s">
        <v>50</v>
      </c>
      <c r="L160" t="s">
        <v>41</v>
      </c>
      <c r="M160" t="s">
        <v>18</v>
      </c>
      <c r="N160">
        <v>40</v>
      </c>
    </row>
    <row r="161" spans="1:14" x14ac:dyDescent="0.25">
      <c r="A161" t="s">
        <v>243</v>
      </c>
      <c r="B161" t="s">
        <v>62</v>
      </c>
      <c r="C161" t="s">
        <v>14</v>
      </c>
      <c r="D161" s="2">
        <v>792.53</v>
      </c>
      <c r="E161">
        <v>1</v>
      </c>
      <c r="F161" s="2">
        <f>ecommerce_store_dataset[[#This Row],[price]]*ecommerce_store_dataset[[#This Row],[qty]]</f>
        <v>792.53</v>
      </c>
      <c r="G161" s="1">
        <v>45955</v>
      </c>
      <c r="H161" s="1">
        <v>45962</v>
      </c>
      <c r="I161" s="1" t="str">
        <f>TEXT(ecommerce_store_dataset[[#This Row],[Delivery_date]],"mmm")</f>
        <v>Nov</v>
      </c>
      <c r="J161" t="s">
        <v>40</v>
      </c>
      <c r="K161" t="s">
        <v>29</v>
      </c>
      <c r="L161" t="s">
        <v>17</v>
      </c>
      <c r="M161" t="s">
        <v>24</v>
      </c>
      <c r="N161">
        <v>39</v>
      </c>
    </row>
    <row r="162" spans="1:14" x14ac:dyDescent="0.25">
      <c r="A162" t="s">
        <v>244</v>
      </c>
      <c r="B162" t="s">
        <v>73</v>
      </c>
      <c r="C162" t="s">
        <v>53</v>
      </c>
      <c r="D162" s="2">
        <v>4423.08</v>
      </c>
      <c r="E162">
        <v>4</v>
      </c>
      <c r="F162" s="2">
        <f>ecommerce_store_dataset[[#This Row],[price]]*ecommerce_store_dataset[[#This Row],[qty]]</f>
        <v>17692.32</v>
      </c>
      <c r="G162" s="1">
        <v>45981</v>
      </c>
      <c r="H162" s="1">
        <v>45984</v>
      </c>
      <c r="I162" s="1" t="str">
        <f>TEXT(ecommerce_store_dataset[[#This Row],[Delivery_date]],"mmm")</f>
        <v>Nov</v>
      </c>
      <c r="J162" t="s">
        <v>36</v>
      </c>
      <c r="K162" t="s">
        <v>37</v>
      </c>
      <c r="L162" t="s">
        <v>33</v>
      </c>
      <c r="M162" t="s">
        <v>24</v>
      </c>
      <c r="N162">
        <v>30</v>
      </c>
    </row>
    <row r="163" spans="1:14" x14ac:dyDescent="0.25">
      <c r="A163" t="s">
        <v>245</v>
      </c>
      <c r="B163" t="s">
        <v>39</v>
      </c>
      <c r="C163" t="s">
        <v>14</v>
      </c>
      <c r="D163" s="2">
        <v>2243.0300000000002</v>
      </c>
      <c r="E163">
        <v>3</v>
      </c>
      <c r="F163" s="2">
        <f>ecommerce_store_dataset[[#This Row],[price]]*ecommerce_store_dataset[[#This Row],[qty]]</f>
        <v>6729.09</v>
      </c>
      <c r="G163" s="1">
        <v>45816</v>
      </c>
      <c r="H163" s="1">
        <v>45822</v>
      </c>
      <c r="I163" s="1" t="str">
        <f>TEXT(ecommerce_store_dataset[[#This Row],[Delivery_date]],"mmm")</f>
        <v>Jun</v>
      </c>
      <c r="J163" t="s">
        <v>65</v>
      </c>
      <c r="K163" t="s">
        <v>50</v>
      </c>
      <c r="L163" t="s">
        <v>33</v>
      </c>
      <c r="M163" t="s">
        <v>24</v>
      </c>
      <c r="N163">
        <v>59</v>
      </c>
    </row>
    <row r="164" spans="1:14" x14ac:dyDescent="0.25">
      <c r="A164" t="s">
        <v>246</v>
      </c>
      <c r="B164" t="s">
        <v>52</v>
      </c>
      <c r="C164" t="s">
        <v>53</v>
      </c>
      <c r="D164" s="2">
        <v>1921.47</v>
      </c>
      <c r="E164">
        <v>1</v>
      </c>
      <c r="F164" s="2">
        <f>ecommerce_store_dataset[[#This Row],[price]]*ecommerce_store_dataset[[#This Row],[qty]]</f>
        <v>1921.47</v>
      </c>
      <c r="G164" s="1">
        <v>45993</v>
      </c>
      <c r="H164" s="1">
        <v>45997</v>
      </c>
      <c r="I164" s="1" t="str">
        <f>TEXT(ecommerce_store_dataset[[#This Row],[Delivery_date]],"mmm")</f>
        <v>Dec</v>
      </c>
      <c r="J164" t="s">
        <v>32</v>
      </c>
      <c r="K164" t="s">
        <v>29</v>
      </c>
      <c r="L164" t="s">
        <v>41</v>
      </c>
      <c r="M164" t="s">
        <v>24</v>
      </c>
      <c r="N164">
        <v>43</v>
      </c>
    </row>
    <row r="165" spans="1:14" x14ac:dyDescent="0.25">
      <c r="A165" t="s">
        <v>247</v>
      </c>
      <c r="B165" t="s">
        <v>114</v>
      </c>
      <c r="C165" t="s">
        <v>68</v>
      </c>
      <c r="D165" s="2">
        <v>304.27999999999997</v>
      </c>
      <c r="E165">
        <v>2</v>
      </c>
      <c r="F165" s="2">
        <f>ecommerce_store_dataset[[#This Row],[price]]*ecommerce_store_dataset[[#This Row],[qty]]</f>
        <v>608.55999999999995</v>
      </c>
      <c r="G165" s="1">
        <v>45912</v>
      </c>
      <c r="H165" s="1">
        <v>45919</v>
      </c>
      <c r="I165" s="1" t="str">
        <f>TEXT(ecommerce_store_dataset[[#This Row],[Delivery_date]],"mmm")</f>
        <v>Sep</v>
      </c>
      <c r="J165" t="s">
        <v>69</v>
      </c>
      <c r="K165" t="s">
        <v>50</v>
      </c>
      <c r="L165" t="s">
        <v>23</v>
      </c>
      <c r="M165" t="s">
        <v>24</v>
      </c>
      <c r="N165">
        <v>23</v>
      </c>
    </row>
    <row r="166" spans="1:14" x14ac:dyDescent="0.25">
      <c r="A166" t="s">
        <v>248</v>
      </c>
      <c r="B166" t="s">
        <v>142</v>
      </c>
      <c r="C166" t="s">
        <v>68</v>
      </c>
      <c r="D166" s="2">
        <v>372.96</v>
      </c>
      <c r="E166">
        <v>2</v>
      </c>
      <c r="F166" s="2">
        <f>ecommerce_store_dataset[[#This Row],[price]]*ecommerce_store_dataset[[#This Row],[qty]]</f>
        <v>745.92</v>
      </c>
      <c r="G166" s="1">
        <v>45937</v>
      </c>
      <c r="H166" s="1">
        <v>45941</v>
      </c>
      <c r="I166" s="1" t="str">
        <f>TEXT(ecommerce_store_dataset[[#This Row],[Delivery_date]],"mmm")</f>
        <v>Oct</v>
      </c>
      <c r="J166" t="s">
        <v>32</v>
      </c>
      <c r="K166" t="s">
        <v>29</v>
      </c>
      <c r="L166" t="s">
        <v>17</v>
      </c>
      <c r="M166" t="s">
        <v>24</v>
      </c>
      <c r="N166">
        <v>36</v>
      </c>
    </row>
    <row r="167" spans="1:14" x14ac:dyDescent="0.25">
      <c r="A167" t="s">
        <v>249</v>
      </c>
      <c r="B167" t="s">
        <v>111</v>
      </c>
      <c r="C167" t="s">
        <v>27</v>
      </c>
      <c r="D167" s="2">
        <v>9635.39</v>
      </c>
      <c r="E167">
        <v>4</v>
      </c>
      <c r="F167" s="2">
        <f>ecommerce_store_dataset[[#This Row],[price]]*ecommerce_store_dataset[[#This Row],[qty]]</f>
        <v>38541.56</v>
      </c>
      <c r="G167" s="1">
        <v>45743</v>
      </c>
      <c r="H167" s="1">
        <v>45750</v>
      </c>
      <c r="I167" s="1" t="str">
        <f>TEXT(ecommerce_store_dataset[[#This Row],[Delivery_date]],"mmm")</f>
        <v>Apr</v>
      </c>
      <c r="J167" t="s">
        <v>69</v>
      </c>
      <c r="K167" t="s">
        <v>50</v>
      </c>
      <c r="L167" t="s">
        <v>33</v>
      </c>
      <c r="M167" t="s">
        <v>24</v>
      </c>
      <c r="N167">
        <v>40</v>
      </c>
    </row>
    <row r="168" spans="1:14" x14ac:dyDescent="0.25">
      <c r="A168" t="s">
        <v>250</v>
      </c>
      <c r="B168" t="s">
        <v>133</v>
      </c>
      <c r="C168" t="s">
        <v>68</v>
      </c>
      <c r="D168" s="2">
        <v>529.6</v>
      </c>
      <c r="E168">
        <v>1</v>
      </c>
      <c r="F168" s="2">
        <f>ecommerce_store_dataset[[#This Row],[price]]*ecommerce_store_dataset[[#This Row],[qty]]</f>
        <v>529.6</v>
      </c>
      <c r="G168" s="1">
        <v>45696</v>
      </c>
      <c r="H168" s="1">
        <v>45703</v>
      </c>
      <c r="I168" s="1" t="str">
        <f>TEXT(ecommerce_store_dataset[[#This Row],[Delivery_date]],"mmm")</f>
        <v>Feb</v>
      </c>
      <c r="J168" t="s">
        <v>69</v>
      </c>
      <c r="K168" t="s">
        <v>50</v>
      </c>
      <c r="L168" t="s">
        <v>23</v>
      </c>
      <c r="M168" t="s">
        <v>18</v>
      </c>
      <c r="N168">
        <v>61</v>
      </c>
    </row>
    <row r="169" spans="1:14" x14ac:dyDescent="0.25">
      <c r="A169" t="s">
        <v>251</v>
      </c>
      <c r="B169" t="s">
        <v>119</v>
      </c>
      <c r="C169" t="s">
        <v>53</v>
      </c>
      <c r="D169" s="2">
        <v>1062.55</v>
      </c>
      <c r="E169">
        <v>5</v>
      </c>
      <c r="F169" s="2">
        <f>ecommerce_store_dataset[[#This Row],[price]]*ecommerce_store_dataset[[#This Row],[qty]]</f>
        <v>5312.75</v>
      </c>
      <c r="G169" s="1">
        <v>46005</v>
      </c>
      <c r="H169" s="1">
        <v>46010</v>
      </c>
      <c r="I169" s="1" t="str">
        <f>TEXT(ecommerce_store_dataset[[#This Row],[Delivery_date]],"mmm")</f>
        <v>Dec</v>
      </c>
      <c r="J169" t="s">
        <v>46</v>
      </c>
      <c r="K169" t="s">
        <v>16</v>
      </c>
      <c r="L169" t="s">
        <v>17</v>
      </c>
      <c r="M169" t="s">
        <v>24</v>
      </c>
      <c r="N169">
        <v>59</v>
      </c>
    </row>
    <row r="170" spans="1:14" x14ac:dyDescent="0.25">
      <c r="A170" t="s">
        <v>252</v>
      </c>
      <c r="B170" t="s">
        <v>89</v>
      </c>
      <c r="C170" t="s">
        <v>27</v>
      </c>
      <c r="D170" s="2">
        <v>6668.53</v>
      </c>
      <c r="E170">
        <v>5</v>
      </c>
      <c r="F170" s="2">
        <f>ecommerce_store_dataset[[#This Row],[price]]*ecommerce_store_dataset[[#This Row],[qty]]</f>
        <v>33342.65</v>
      </c>
      <c r="G170" s="1">
        <v>45674</v>
      </c>
      <c r="H170" s="1">
        <v>45680</v>
      </c>
      <c r="I170" s="1" t="str">
        <f>TEXT(ecommerce_store_dataset[[#This Row],[Delivery_date]],"mmm")</f>
        <v>Jan</v>
      </c>
      <c r="J170" t="s">
        <v>97</v>
      </c>
      <c r="K170" t="s">
        <v>37</v>
      </c>
      <c r="L170" t="s">
        <v>41</v>
      </c>
      <c r="M170" t="s">
        <v>24</v>
      </c>
      <c r="N170">
        <v>22</v>
      </c>
    </row>
    <row r="171" spans="1:14" x14ac:dyDescent="0.25">
      <c r="A171" t="s">
        <v>253</v>
      </c>
      <c r="B171" t="s">
        <v>95</v>
      </c>
      <c r="C171" t="s">
        <v>53</v>
      </c>
      <c r="D171" s="2">
        <v>2086.12</v>
      </c>
      <c r="E171">
        <v>3</v>
      </c>
      <c r="F171" s="2">
        <f>ecommerce_store_dataset[[#This Row],[price]]*ecommerce_store_dataset[[#This Row],[qty]]</f>
        <v>6258.36</v>
      </c>
      <c r="G171" s="1">
        <v>45785</v>
      </c>
      <c r="H171" s="1">
        <v>45787</v>
      </c>
      <c r="I171" s="1" t="str">
        <f>TEXT(ecommerce_store_dataset[[#This Row],[Delivery_date]],"mmm")</f>
        <v>May</v>
      </c>
      <c r="J171" t="s">
        <v>46</v>
      </c>
      <c r="K171" t="s">
        <v>16</v>
      </c>
      <c r="L171" t="s">
        <v>33</v>
      </c>
      <c r="M171" t="s">
        <v>18</v>
      </c>
      <c r="N171">
        <v>53</v>
      </c>
    </row>
    <row r="172" spans="1:14" x14ac:dyDescent="0.25">
      <c r="A172" t="s">
        <v>254</v>
      </c>
      <c r="B172" t="s">
        <v>35</v>
      </c>
      <c r="C172" t="s">
        <v>14</v>
      </c>
      <c r="D172" s="2">
        <v>1993.67</v>
      </c>
      <c r="E172">
        <v>4</v>
      </c>
      <c r="F172" s="2">
        <f>ecommerce_store_dataset[[#This Row],[price]]*ecommerce_store_dataset[[#This Row],[qty]]</f>
        <v>7974.68</v>
      </c>
      <c r="G172" s="1">
        <v>45767</v>
      </c>
      <c r="H172" s="1">
        <v>45773</v>
      </c>
      <c r="I172" s="1" t="str">
        <f>TEXT(ecommerce_store_dataset[[#This Row],[Delivery_date]],"mmm")</f>
        <v>Apr</v>
      </c>
      <c r="J172" t="s">
        <v>82</v>
      </c>
      <c r="K172" t="s">
        <v>29</v>
      </c>
      <c r="L172" t="s">
        <v>30</v>
      </c>
      <c r="M172" t="s">
        <v>24</v>
      </c>
      <c r="N172">
        <v>22</v>
      </c>
    </row>
    <row r="173" spans="1:14" x14ac:dyDescent="0.25">
      <c r="A173" t="s">
        <v>255</v>
      </c>
      <c r="B173" t="s">
        <v>67</v>
      </c>
      <c r="C173" t="s">
        <v>68</v>
      </c>
      <c r="D173" s="2">
        <v>724.01</v>
      </c>
      <c r="E173">
        <v>4</v>
      </c>
      <c r="F173" s="2">
        <f>ecommerce_store_dataset[[#This Row],[price]]*ecommerce_store_dataset[[#This Row],[qty]]</f>
        <v>2896.04</v>
      </c>
      <c r="G173" s="1">
        <v>45702</v>
      </c>
      <c r="H173" s="1">
        <v>45709</v>
      </c>
      <c r="I173" s="1" t="str">
        <f>TEXT(ecommerce_store_dataset[[#This Row],[Delivery_date]],"mmm")</f>
        <v>Feb</v>
      </c>
      <c r="J173" t="s">
        <v>28</v>
      </c>
      <c r="K173" t="s">
        <v>29</v>
      </c>
      <c r="L173" t="s">
        <v>17</v>
      </c>
      <c r="M173" t="s">
        <v>18</v>
      </c>
      <c r="N173">
        <v>36</v>
      </c>
    </row>
    <row r="174" spans="1:14" x14ac:dyDescent="0.25">
      <c r="A174" t="s">
        <v>256</v>
      </c>
      <c r="B174" t="s">
        <v>26</v>
      </c>
      <c r="C174" t="s">
        <v>27</v>
      </c>
      <c r="D174" s="2">
        <v>3626.32</v>
      </c>
      <c r="E174">
        <v>2</v>
      </c>
      <c r="F174" s="2">
        <f>ecommerce_store_dataset[[#This Row],[price]]*ecommerce_store_dataset[[#This Row],[qty]]</f>
        <v>7252.64</v>
      </c>
      <c r="G174" s="1">
        <v>45843</v>
      </c>
      <c r="H174" s="1">
        <v>45849</v>
      </c>
      <c r="I174" s="1" t="str">
        <f>TEXT(ecommerce_store_dataset[[#This Row],[Delivery_date]],"mmm")</f>
        <v>Jul</v>
      </c>
      <c r="J174" t="s">
        <v>36</v>
      </c>
      <c r="K174" t="s">
        <v>37</v>
      </c>
      <c r="L174" t="s">
        <v>30</v>
      </c>
      <c r="M174" t="s">
        <v>18</v>
      </c>
      <c r="N174">
        <v>33</v>
      </c>
    </row>
    <row r="175" spans="1:14" x14ac:dyDescent="0.25">
      <c r="A175" t="s">
        <v>257</v>
      </c>
      <c r="B175" t="s">
        <v>142</v>
      </c>
      <c r="C175" t="s">
        <v>68</v>
      </c>
      <c r="D175" s="2">
        <v>320.67</v>
      </c>
      <c r="E175">
        <v>5</v>
      </c>
      <c r="F175" s="2">
        <f>ecommerce_store_dataset[[#This Row],[price]]*ecommerce_store_dataset[[#This Row],[qty]]</f>
        <v>1603.3500000000001</v>
      </c>
      <c r="G175" s="1">
        <v>45846</v>
      </c>
      <c r="H175" s="1">
        <v>45851</v>
      </c>
      <c r="I175" s="1" t="str">
        <f>TEXT(ecommerce_store_dataset[[#This Row],[Delivery_date]],"mmm")</f>
        <v>Jul</v>
      </c>
      <c r="J175" t="s">
        <v>21</v>
      </c>
      <c r="K175" t="s">
        <v>22</v>
      </c>
      <c r="L175" t="s">
        <v>23</v>
      </c>
      <c r="M175" t="s">
        <v>18</v>
      </c>
      <c r="N175">
        <v>22</v>
      </c>
    </row>
    <row r="176" spans="1:14" x14ac:dyDescent="0.25">
      <c r="A176" t="s">
        <v>258</v>
      </c>
      <c r="B176" t="s">
        <v>111</v>
      </c>
      <c r="C176" t="s">
        <v>27</v>
      </c>
      <c r="D176" s="2">
        <v>14994.53</v>
      </c>
      <c r="E176">
        <v>4</v>
      </c>
      <c r="F176" s="2">
        <f>ecommerce_store_dataset[[#This Row],[price]]*ecommerce_store_dataset[[#This Row],[qty]]</f>
        <v>59978.12</v>
      </c>
      <c r="G176" s="1">
        <v>45927</v>
      </c>
      <c r="H176" s="1">
        <v>45932</v>
      </c>
      <c r="I176" s="1" t="str">
        <f>TEXT(ecommerce_store_dataset[[#This Row],[Delivery_date]],"mmm")</f>
        <v>Oct</v>
      </c>
      <c r="J176" t="s">
        <v>65</v>
      </c>
      <c r="K176" t="s">
        <v>50</v>
      </c>
      <c r="L176" t="s">
        <v>17</v>
      </c>
      <c r="M176" t="s">
        <v>24</v>
      </c>
      <c r="N176">
        <v>38</v>
      </c>
    </row>
    <row r="177" spans="1:14" x14ac:dyDescent="0.25">
      <c r="A177" t="s">
        <v>259</v>
      </c>
      <c r="B177" t="s">
        <v>64</v>
      </c>
      <c r="C177" t="s">
        <v>14</v>
      </c>
      <c r="D177" s="2">
        <v>1298.1199999999999</v>
      </c>
      <c r="E177">
        <v>5</v>
      </c>
      <c r="F177" s="2">
        <f>ecommerce_store_dataset[[#This Row],[price]]*ecommerce_store_dataset[[#This Row],[qty]]</f>
        <v>6490.5999999999995</v>
      </c>
      <c r="G177" s="1">
        <v>45834</v>
      </c>
      <c r="H177" s="1">
        <v>45837</v>
      </c>
      <c r="I177" s="1" t="str">
        <f>TEXT(ecommerce_store_dataset[[#This Row],[Delivery_date]],"mmm")</f>
        <v>Jun</v>
      </c>
      <c r="J177" t="s">
        <v>121</v>
      </c>
      <c r="K177" t="s">
        <v>22</v>
      </c>
      <c r="L177" t="s">
        <v>30</v>
      </c>
      <c r="M177" t="s">
        <v>18</v>
      </c>
      <c r="N177">
        <v>26</v>
      </c>
    </row>
    <row r="178" spans="1:14" x14ac:dyDescent="0.25">
      <c r="A178" t="s">
        <v>260</v>
      </c>
      <c r="B178" t="s">
        <v>86</v>
      </c>
      <c r="C178" t="s">
        <v>68</v>
      </c>
      <c r="D178" s="2">
        <v>733.03</v>
      </c>
      <c r="E178">
        <v>1</v>
      </c>
      <c r="F178" s="2">
        <f>ecommerce_store_dataset[[#This Row],[price]]*ecommerce_store_dataset[[#This Row],[qty]]</f>
        <v>733.03</v>
      </c>
      <c r="G178" s="1">
        <v>45721</v>
      </c>
      <c r="H178" s="1">
        <v>45727</v>
      </c>
      <c r="I178" s="1" t="str">
        <f>TEXT(ecommerce_store_dataset[[#This Row],[Delivery_date]],"mmm")</f>
        <v>Mar</v>
      </c>
      <c r="J178" t="s">
        <v>101</v>
      </c>
      <c r="K178" t="s">
        <v>37</v>
      </c>
      <c r="L178" t="s">
        <v>30</v>
      </c>
      <c r="M178" t="s">
        <v>24</v>
      </c>
      <c r="N178">
        <v>63</v>
      </c>
    </row>
    <row r="179" spans="1:14" x14ac:dyDescent="0.25">
      <c r="A179" t="s">
        <v>261</v>
      </c>
      <c r="B179" t="s">
        <v>95</v>
      </c>
      <c r="C179" t="s">
        <v>53</v>
      </c>
      <c r="D179" s="2">
        <v>4289.41</v>
      </c>
      <c r="E179">
        <v>5</v>
      </c>
      <c r="F179" s="2">
        <f>ecommerce_store_dataset[[#This Row],[price]]*ecommerce_store_dataset[[#This Row],[qty]]</f>
        <v>21447.05</v>
      </c>
      <c r="G179" s="1">
        <v>45803</v>
      </c>
      <c r="H179" s="1">
        <v>45805</v>
      </c>
      <c r="I179" s="1" t="str">
        <f>TEXT(ecommerce_store_dataset[[#This Row],[Delivery_date]],"mmm")</f>
        <v>May</v>
      </c>
      <c r="J179" t="s">
        <v>40</v>
      </c>
      <c r="K179" t="s">
        <v>29</v>
      </c>
      <c r="L179" t="s">
        <v>23</v>
      </c>
      <c r="M179" t="s">
        <v>24</v>
      </c>
      <c r="N179">
        <v>58</v>
      </c>
    </row>
    <row r="180" spans="1:14" x14ac:dyDescent="0.25">
      <c r="A180" t="s">
        <v>262</v>
      </c>
      <c r="B180" t="s">
        <v>57</v>
      </c>
      <c r="C180" t="s">
        <v>27</v>
      </c>
      <c r="D180" s="2">
        <v>8701.9500000000007</v>
      </c>
      <c r="E180">
        <v>5</v>
      </c>
      <c r="F180" s="2">
        <f>ecommerce_store_dataset[[#This Row],[price]]*ecommerce_store_dataset[[#This Row],[qty]]</f>
        <v>43509.75</v>
      </c>
      <c r="G180" s="1">
        <v>45986</v>
      </c>
      <c r="H180" s="1">
        <v>45989</v>
      </c>
      <c r="I180" s="1" t="str">
        <f>TEXT(ecommerce_store_dataset[[#This Row],[Delivery_date]],"mmm")</f>
        <v>Nov</v>
      </c>
      <c r="J180" t="s">
        <v>121</v>
      </c>
      <c r="K180" t="s">
        <v>22</v>
      </c>
      <c r="L180" t="s">
        <v>30</v>
      </c>
      <c r="M180" t="s">
        <v>24</v>
      </c>
      <c r="N180">
        <v>57</v>
      </c>
    </row>
    <row r="181" spans="1:14" x14ac:dyDescent="0.25">
      <c r="A181" t="s">
        <v>263</v>
      </c>
      <c r="B181" t="s">
        <v>26</v>
      </c>
      <c r="C181" t="s">
        <v>27</v>
      </c>
      <c r="D181" s="2">
        <v>13973.05</v>
      </c>
      <c r="E181">
        <v>1</v>
      </c>
      <c r="F181" s="2">
        <f>ecommerce_store_dataset[[#This Row],[price]]*ecommerce_store_dataset[[#This Row],[qty]]</f>
        <v>13973.05</v>
      </c>
      <c r="G181" s="1">
        <v>45672</v>
      </c>
      <c r="H181" s="1">
        <v>45674</v>
      </c>
      <c r="I181" s="1" t="str">
        <f>TEXT(ecommerce_store_dataset[[#This Row],[Delivery_date]],"mmm")</f>
        <v>Jan</v>
      </c>
      <c r="J181" t="s">
        <v>15</v>
      </c>
      <c r="K181" t="s">
        <v>16</v>
      </c>
      <c r="L181" t="s">
        <v>41</v>
      </c>
      <c r="M181" t="s">
        <v>18</v>
      </c>
      <c r="N181">
        <v>54</v>
      </c>
    </row>
    <row r="182" spans="1:14" x14ac:dyDescent="0.25">
      <c r="A182" t="s">
        <v>264</v>
      </c>
      <c r="B182" t="s">
        <v>86</v>
      </c>
      <c r="C182" t="s">
        <v>68</v>
      </c>
      <c r="D182" s="2">
        <v>529.24</v>
      </c>
      <c r="E182">
        <v>4</v>
      </c>
      <c r="F182" s="2">
        <f>ecommerce_store_dataset[[#This Row],[price]]*ecommerce_store_dataset[[#This Row],[qty]]</f>
        <v>2116.96</v>
      </c>
      <c r="G182" s="1">
        <v>45979</v>
      </c>
      <c r="H182" s="1">
        <v>45985</v>
      </c>
      <c r="I182" s="1" t="str">
        <f>TEXT(ecommerce_store_dataset[[#This Row],[Delivery_date]],"mmm")</f>
        <v>Nov</v>
      </c>
      <c r="J182" t="s">
        <v>28</v>
      </c>
      <c r="K182" t="s">
        <v>29</v>
      </c>
      <c r="L182" t="s">
        <v>33</v>
      </c>
      <c r="M182" t="s">
        <v>24</v>
      </c>
      <c r="N182">
        <v>61</v>
      </c>
    </row>
    <row r="183" spans="1:14" x14ac:dyDescent="0.25">
      <c r="A183" t="s">
        <v>265</v>
      </c>
      <c r="B183" t="s">
        <v>133</v>
      </c>
      <c r="C183" t="s">
        <v>68</v>
      </c>
      <c r="D183" s="2">
        <v>390.16</v>
      </c>
      <c r="E183">
        <v>1</v>
      </c>
      <c r="F183" s="2">
        <f>ecommerce_store_dataset[[#This Row],[price]]*ecommerce_store_dataset[[#This Row],[qty]]</f>
        <v>390.16</v>
      </c>
      <c r="G183" s="1">
        <v>45738</v>
      </c>
      <c r="H183" s="1">
        <v>45743</v>
      </c>
      <c r="I183" s="1" t="str">
        <f>TEXT(ecommerce_store_dataset[[#This Row],[Delivery_date]],"mmm")</f>
        <v>Mar</v>
      </c>
      <c r="J183" t="s">
        <v>49</v>
      </c>
      <c r="K183" t="s">
        <v>50</v>
      </c>
      <c r="L183" t="s">
        <v>33</v>
      </c>
      <c r="M183" t="s">
        <v>24</v>
      </c>
      <c r="N183">
        <v>56</v>
      </c>
    </row>
    <row r="184" spans="1:14" x14ac:dyDescent="0.25">
      <c r="A184" t="s">
        <v>266</v>
      </c>
      <c r="B184" t="s">
        <v>95</v>
      </c>
      <c r="C184" t="s">
        <v>53</v>
      </c>
      <c r="D184" s="2">
        <v>3944.56</v>
      </c>
      <c r="E184">
        <v>3</v>
      </c>
      <c r="F184" s="2">
        <f>ecommerce_store_dataset[[#This Row],[price]]*ecommerce_store_dataset[[#This Row],[qty]]</f>
        <v>11833.68</v>
      </c>
      <c r="G184" s="1">
        <v>45834</v>
      </c>
      <c r="H184" s="1">
        <v>45839</v>
      </c>
      <c r="I184" s="1" t="str">
        <f>TEXT(ecommerce_store_dataset[[#This Row],[Delivery_date]],"mmm")</f>
        <v>Jul</v>
      </c>
      <c r="J184" t="s">
        <v>101</v>
      </c>
      <c r="K184" t="s">
        <v>37</v>
      </c>
      <c r="L184" t="s">
        <v>23</v>
      </c>
      <c r="M184" t="s">
        <v>18</v>
      </c>
      <c r="N184">
        <v>38</v>
      </c>
    </row>
    <row r="185" spans="1:14" x14ac:dyDescent="0.25">
      <c r="A185" t="s">
        <v>267</v>
      </c>
      <c r="B185" t="s">
        <v>73</v>
      </c>
      <c r="C185" t="s">
        <v>53</v>
      </c>
      <c r="D185" s="2">
        <v>981.31</v>
      </c>
      <c r="E185">
        <v>4</v>
      </c>
      <c r="F185" s="2">
        <f>ecommerce_store_dataset[[#This Row],[price]]*ecommerce_store_dataset[[#This Row],[qty]]</f>
        <v>3925.24</v>
      </c>
      <c r="G185" s="1">
        <v>45784</v>
      </c>
      <c r="H185" s="1">
        <v>45787</v>
      </c>
      <c r="I185" s="1" t="str">
        <f>TEXT(ecommerce_store_dataset[[#This Row],[Delivery_date]],"mmm")</f>
        <v>May</v>
      </c>
      <c r="J185" t="s">
        <v>74</v>
      </c>
      <c r="K185" t="s">
        <v>16</v>
      </c>
      <c r="L185" t="s">
        <v>41</v>
      </c>
      <c r="M185" t="s">
        <v>18</v>
      </c>
      <c r="N185">
        <v>57</v>
      </c>
    </row>
    <row r="186" spans="1:14" x14ac:dyDescent="0.25">
      <c r="A186" t="s">
        <v>268</v>
      </c>
      <c r="B186" t="s">
        <v>67</v>
      </c>
      <c r="C186" t="s">
        <v>68</v>
      </c>
      <c r="D186" s="2">
        <v>772.01</v>
      </c>
      <c r="E186">
        <v>2</v>
      </c>
      <c r="F186" s="2">
        <f>ecommerce_store_dataset[[#This Row],[price]]*ecommerce_store_dataset[[#This Row],[qty]]</f>
        <v>1544.02</v>
      </c>
      <c r="G186" s="1">
        <v>45825</v>
      </c>
      <c r="H186" s="1">
        <v>45831</v>
      </c>
      <c r="I186" s="1" t="str">
        <f>TEXT(ecommerce_store_dataset[[#This Row],[Delivery_date]],"mmm")</f>
        <v>Jun</v>
      </c>
      <c r="J186" t="s">
        <v>40</v>
      </c>
      <c r="K186" t="s">
        <v>29</v>
      </c>
      <c r="L186" t="s">
        <v>30</v>
      </c>
      <c r="M186" t="s">
        <v>18</v>
      </c>
      <c r="N186">
        <v>50</v>
      </c>
    </row>
    <row r="187" spans="1:14" x14ac:dyDescent="0.25">
      <c r="A187" t="s">
        <v>269</v>
      </c>
      <c r="B187" t="s">
        <v>114</v>
      </c>
      <c r="C187" t="s">
        <v>68</v>
      </c>
      <c r="D187" s="2">
        <v>709.31</v>
      </c>
      <c r="E187">
        <v>4</v>
      </c>
      <c r="F187" s="2">
        <f>ecommerce_store_dataset[[#This Row],[price]]*ecommerce_store_dataset[[#This Row],[qty]]</f>
        <v>2837.24</v>
      </c>
      <c r="G187" s="1">
        <v>45669</v>
      </c>
      <c r="H187" s="1">
        <v>45671</v>
      </c>
      <c r="I187" s="1" t="str">
        <f>TEXT(ecommerce_store_dataset[[#This Row],[Delivery_date]],"mmm")</f>
        <v>Jan</v>
      </c>
      <c r="J187" t="s">
        <v>65</v>
      </c>
      <c r="K187" t="s">
        <v>50</v>
      </c>
      <c r="L187" t="s">
        <v>33</v>
      </c>
      <c r="M187" t="s">
        <v>18</v>
      </c>
      <c r="N187">
        <v>31</v>
      </c>
    </row>
    <row r="188" spans="1:14" x14ac:dyDescent="0.25">
      <c r="A188" t="s">
        <v>270</v>
      </c>
      <c r="B188" t="s">
        <v>48</v>
      </c>
      <c r="C188" t="s">
        <v>27</v>
      </c>
      <c r="D188" s="2">
        <v>2182.3000000000002</v>
      </c>
      <c r="E188">
        <v>4</v>
      </c>
      <c r="F188" s="2">
        <f>ecommerce_store_dataset[[#This Row],[price]]*ecommerce_store_dataset[[#This Row],[qty]]</f>
        <v>8729.2000000000007</v>
      </c>
      <c r="G188" s="1">
        <v>45963</v>
      </c>
      <c r="H188" s="1">
        <v>45970</v>
      </c>
      <c r="I188" s="1" t="str">
        <f>TEXT(ecommerce_store_dataset[[#This Row],[Delivery_date]],"mmm")</f>
        <v>Nov</v>
      </c>
      <c r="J188" t="s">
        <v>69</v>
      </c>
      <c r="K188" t="s">
        <v>50</v>
      </c>
      <c r="L188" t="s">
        <v>23</v>
      </c>
      <c r="M188" t="s">
        <v>24</v>
      </c>
      <c r="N188">
        <v>24</v>
      </c>
    </row>
    <row r="189" spans="1:14" x14ac:dyDescent="0.25">
      <c r="A189" t="s">
        <v>271</v>
      </c>
      <c r="B189" t="s">
        <v>67</v>
      </c>
      <c r="C189" t="s">
        <v>68</v>
      </c>
      <c r="D189" s="2">
        <v>711.84</v>
      </c>
      <c r="E189">
        <v>3</v>
      </c>
      <c r="F189" s="2">
        <f>ecommerce_store_dataset[[#This Row],[price]]*ecommerce_store_dataset[[#This Row],[qty]]</f>
        <v>2135.52</v>
      </c>
      <c r="G189" s="1">
        <v>45864</v>
      </c>
      <c r="H189" s="1">
        <v>45868</v>
      </c>
      <c r="I189" s="1" t="str">
        <f>TEXT(ecommerce_store_dataset[[#This Row],[Delivery_date]],"mmm")</f>
        <v>Jul</v>
      </c>
      <c r="J189" t="s">
        <v>78</v>
      </c>
      <c r="K189" t="s">
        <v>16</v>
      </c>
      <c r="L189" t="s">
        <v>17</v>
      </c>
      <c r="M189" t="s">
        <v>18</v>
      </c>
      <c r="N189">
        <v>30</v>
      </c>
    </row>
    <row r="190" spans="1:14" x14ac:dyDescent="0.25">
      <c r="A190" t="s">
        <v>272</v>
      </c>
      <c r="B190" t="s">
        <v>57</v>
      </c>
      <c r="C190" t="s">
        <v>27</v>
      </c>
      <c r="D190" s="2">
        <v>5396.12</v>
      </c>
      <c r="E190">
        <v>4</v>
      </c>
      <c r="F190" s="2">
        <f>ecommerce_store_dataset[[#This Row],[price]]*ecommerce_store_dataset[[#This Row],[qty]]</f>
        <v>21584.48</v>
      </c>
      <c r="G190" s="1">
        <v>45916</v>
      </c>
      <c r="H190" s="1">
        <v>45921</v>
      </c>
      <c r="I190" s="1" t="str">
        <f>TEXT(ecommerce_store_dataset[[#This Row],[Delivery_date]],"mmm")</f>
        <v>Sep</v>
      </c>
      <c r="J190" t="s">
        <v>147</v>
      </c>
      <c r="K190" t="s">
        <v>22</v>
      </c>
      <c r="L190" t="s">
        <v>23</v>
      </c>
      <c r="M190" t="s">
        <v>18</v>
      </c>
      <c r="N190">
        <v>25</v>
      </c>
    </row>
    <row r="191" spans="1:14" x14ac:dyDescent="0.25">
      <c r="A191" t="s">
        <v>273</v>
      </c>
      <c r="B191" t="s">
        <v>126</v>
      </c>
      <c r="C191" t="s">
        <v>53</v>
      </c>
      <c r="D191" s="2">
        <v>2069.5500000000002</v>
      </c>
      <c r="E191">
        <v>3</v>
      </c>
      <c r="F191" s="2">
        <f>ecommerce_store_dataset[[#This Row],[price]]*ecommerce_store_dataset[[#This Row],[qty]]</f>
        <v>6208.6500000000005</v>
      </c>
      <c r="G191" s="1">
        <v>45943</v>
      </c>
      <c r="H191" s="1">
        <v>45947</v>
      </c>
      <c r="I191" s="1" t="str">
        <f>TEXT(ecommerce_store_dataset[[#This Row],[Delivery_date]],"mmm")</f>
        <v>Oct</v>
      </c>
      <c r="J191" t="s">
        <v>116</v>
      </c>
      <c r="K191" t="s">
        <v>37</v>
      </c>
      <c r="L191" t="s">
        <v>23</v>
      </c>
      <c r="M191" t="s">
        <v>18</v>
      </c>
      <c r="N191">
        <v>50</v>
      </c>
    </row>
    <row r="192" spans="1:14" x14ac:dyDescent="0.25">
      <c r="A192" t="s">
        <v>274</v>
      </c>
      <c r="B192" t="s">
        <v>13</v>
      </c>
      <c r="C192" t="s">
        <v>14</v>
      </c>
      <c r="D192" s="2">
        <v>337.56</v>
      </c>
      <c r="E192">
        <v>3</v>
      </c>
      <c r="F192" s="2">
        <f>ecommerce_store_dataset[[#This Row],[price]]*ecommerce_store_dataset[[#This Row],[qty]]</f>
        <v>1012.6800000000001</v>
      </c>
      <c r="G192" s="1">
        <v>45900</v>
      </c>
      <c r="H192" s="1">
        <v>45906</v>
      </c>
      <c r="I192" s="1" t="str">
        <f>TEXT(ecommerce_store_dataset[[#This Row],[Delivery_date]],"mmm")</f>
        <v>Sep</v>
      </c>
      <c r="J192" t="s">
        <v>90</v>
      </c>
      <c r="K192" t="s">
        <v>50</v>
      </c>
      <c r="L192" t="s">
        <v>23</v>
      </c>
      <c r="M192" t="s">
        <v>18</v>
      </c>
      <c r="N192">
        <v>26</v>
      </c>
    </row>
    <row r="193" spans="1:14" x14ac:dyDescent="0.25">
      <c r="A193" t="s">
        <v>275</v>
      </c>
      <c r="B193" t="s">
        <v>57</v>
      </c>
      <c r="C193" t="s">
        <v>27</v>
      </c>
      <c r="D193" s="2">
        <v>5800.16</v>
      </c>
      <c r="E193">
        <v>4</v>
      </c>
      <c r="F193" s="2">
        <f>ecommerce_store_dataset[[#This Row],[price]]*ecommerce_store_dataset[[#This Row],[qty]]</f>
        <v>23200.639999999999</v>
      </c>
      <c r="G193" s="1">
        <v>45973</v>
      </c>
      <c r="H193" s="1">
        <v>45980</v>
      </c>
      <c r="I193" s="1" t="str">
        <f>TEXT(ecommerce_store_dataset[[#This Row],[Delivery_date]],"mmm")</f>
        <v>Nov</v>
      </c>
      <c r="J193" t="s">
        <v>59</v>
      </c>
      <c r="K193" t="s">
        <v>29</v>
      </c>
      <c r="L193" t="s">
        <v>41</v>
      </c>
      <c r="M193" t="s">
        <v>18</v>
      </c>
      <c r="N193">
        <v>50</v>
      </c>
    </row>
    <row r="194" spans="1:14" x14ac:dyDescent="0.25">
      <c r="A194" t="s">
        <v>276</v>
      </c>
      <c r="B194" t="s">
        <v>139</v>
      </c>
      <c r="C194" t="s">
        <v>68</v>
      </c>
      <c r="D194" s="2">
        <v>472.19</v>
      </c>
      <c r="E194">
        <v>4</v>
      </c>
      <c r="F194" s="2">
        <f>ecommerce_store_dataset[[#This Row],[price]]*ecommerce_store_dataset[[#This Row],[qty]]</f>
        <v>1888.76</v>
      </c>
      <c r="G194" s="1">
        <v>45666</v>
      </c>
      <c r="H194" s="1">
        <v>45670</v>
      </c>
      <c r="I194" s="1" t="str">
        <f>TEXT(ecommerce_store_dataset[[#This Row],[Delivery_date]],"mmm")</f>
        <v>Jan</v>
      </c>
      <c r="J194" t="s">
        <v>32</v>
      </c>
      <c r="K194" t="s">
        <v>29</v>
      </c>
      <c r="L194" t="s">
        <v>33</v>
      </c>
      <c r="M194" t="s">
        <v>18</v>
      </c>
      <c r="N194">
        <v>64</v>
      </c>
    </row>
    <row r="195" spans="1:14" x14ac:dyDescent="0.25">
      <c r="A195" t="s">
        <v>277</v>
      </c>
      <c r="B195" t="s">
        <v>64</v>
      </c>
      <c r="C195" t="s">
        <v>14</v>
      </c>
      <c r="D195" s="2">
        <v>847.44</v>
      </c>
      <c r="E195">
        <v>5</v>
      </c>
      <c r="F195" s="2">
        <f>ecommerce_store_dataset[[#This Row],[price]]*ecommerce_store_dataset[[#This Row],[qty]]</f>
        <v>4237.2000000000007</v>
      </c>
      <c r="G195" s="1">
        <v>45953</v>
      </c>
      <c r="H195" s="1">
        <v>45956</v>
      </c>
      <c r="I195" s="1" t="str">
        <f>TEXT(ecommerce_store_dataset[[#This Row],[Delivery_date]],"mmm")</f>
        <v>Oct</v>
      </c>
      <c r="J195" t="s">
        <v>15</v>
      </c>
      <c r="K195" t="s">
        <v>16</v>
      </c>
      <c r="L195" t="s">
        <v>33</v>
      </c>
      <c r="M195" t="s">
        <v>24</v>
      </c>
      <c r="N195">
        <v>58</v>
      </c>
    </row>
    <row r="196" spans="1:14" x14ac:dyDescent="0.25">
      <c r="A196" t="s">
        <v>278</v>
      </c>
      <c r="B196" t="s">
        <v>67</v>
      </c>
      <c r="C196" t="s">
        <v>68</v>
      </c>
      <c r="D196" s="2">
        <v>666.25</v>
      </c>
      <c r="E196">
        <v>2</v>
      </c>
      <c r="F196" s="2">
        <f>ecommerce_store_dataset[[#This Row],[price]]*ecommerce_store_dataset[[#This Row],[qty]]</f>
        <v>1332.5</v>
      </c>
      <c r="G196" s="1">
        <v>45674</v>
      </c>
      <c r="H196" s="1">
        <v>45680</v>
      </c>
      <c r="I196" s="1" t="str">
        <f>TEXT(ecommerce_store_dataset[[#This Row],[Delivery_date]],"mmm")</f>
        <v>Jan</v>
      </c>
      <c r="J196" t="s">
        <v>46</v>
      </c>
      <c r="K196" t="s">
        <v>16</v>
      </c>
      <c r="L196" t="s">
        <v>17</v>
      </c>
      <c r="M196" t="s">
        <v>24</v>
      </c>
      <c r="N196">
        <v>44</v>
      </c>
    </row>
    <row r="197" spans="1:14" x14ac:dyDescent="0.25">
      <c r="A197" t="s">
        <v>279</v>
      </c>
      <c r="B197" t="s">
        <v>81</v>
      </c>
      <c r="C197" t="s">
        <v>53</v>
      </c>
      <c r="D197" s="2">
        <v>3258.91</v>
      </c>
      <c r="E197">
        <v>4</v>
      </c>
      <c r="F197" s="2">
        <f>ecommerce_store_dataset[[#This Row],[price]]*ecommerce_store_dataset[[#This Row],[qty]]</f>
        <v>13035.64</v>
      </c>
      <c r="G197" s="1">
        <v>45914</v>
      </c>
      <c r="H197" s="1">
        <v>45920</v>
      </c>
      <c r="I197" s="1" t="str">
        <f>TEXT(ecommerce_store_dataset[[#This Row],[Delivery_date]],"mmm")</f>
        <v>Sep</v>
      </c>
      <c r="J197" t="s">
        <v>127</v>
      </c>
      <c r="K197" t="s">
        <v>50</v>
      </c>
      <c r="L197" t="s">
        <v>30</v>
      </c>
      <c r="M197" t="s">
        <v>18</v>
      </c>
      <c r="N197">
        <v>53</v>
      </c>
    </row>
    <row r="198" spans="1:14" x14ac:dyDescent="0.25">
      <c r="A198" t="s">
        <v>280</v>
      </c>
      <c r="B198" t="s">
        <v>43</v>
      </c>
      <c r="C198" t="s">
        <v>27</v>
      </c>
      <c r="D198" s="2">
        <v>7958.01</v>
      </c>
      <c r="E198">
        <v>4</v>
      </c>
      <c r="F198" s="2">
        <f>ecommerce_store_dataset[[#This Row],[price]]*ecommerce_store_dataset[[#This Row],[qty]]</f>
        <v>31832.04</v>
      </c>
      <c r="G198" s="1">
        <v>45818</v>
      </c>
      <c r="H198" s="1">
        <v>45821</v>
      </c>
      <c r="I198" s="1" t="str">
        <f>TEXT(ecommerce_store_dataset[[#This Row],[Delivery_date]],"mmm")</f>
        <v>Jun</v>
      </c>
      <c r="J198" t="s">
        <v>65</v>
      </c>
      <c r="K198" t="s">
        <v>50</v>
      </c>
      <c r="L198" t="s">
        <v>41</v>
      </c>
      <c r="M198" t="s">
        <v>18</v>
      </c>
      <c r="N198">
        <v>61</v>
      </c>
    </row>
    <row r="199" spans="1:14" x14ac:dyDescent="0.25">
      <c r="A199" t="s">
        <v>281</v>
      </c>
      <c r="B199" t="s">
        <v>57</v>
      </c>
      <c r="C199" t="s">
        <v>27</v>
      </c>
      <c r="D199" s="2">
        <v>8036.43</v>
      </c>
      <c r="E199">
        <v>2</v>
      </c>
      <c r="F199" s="2">
        <f>ecommerce_store_dataset[[#This Row],[price]]*ecommerce_store_dataset[[#This Row],[qty]]</f>
        <v>16072.86</v>
      </c>
      <c r="G199" s="1">
        <v>45800</v>
      </c>
      <c r="H199" s="1">
        <v>45806</v>
      </c>
      <c r="I199" s="1" t="str">
        <f>TEXT(ecommerce_store_dataset[[#This Row],[Delivery_date]],"mmm")</f>
        <v>May</v>
      </c>
      <c r="J199" t="s">
        <v>40</v>
      </c>
      <c r="K199" t="s">
        <v>29</v>
      </c>
      <c r="L199" t="s">
        <v>41</v>
      </c>
      <c r="M199" t="s">
        <v>18</v>
      </c>
      <c r="N199">
        <v>63</v>
      </c>
    </row>
    <row r="200" spans="1:14" x14ac:dyDescent="0.25">
      <c r="A200" t="s">
        <v>282</v>
      </c>
      <c r="B200" t="s">
        <v>73</v>
      </c>
      <c r="C200" t="s">
        <v>53</v>
      </c>
      <c r="D200" s="2">
        <v>1761.33</v>
      </c>
      <c r="E200">
        <v>3</v>
      </c>
      <c r="F200" s="2">
        <f>ecommerce_store_dataset[[#This Row],[price]]*ecommerce_store_dataset[[#This Row],[qty]]</f>
        <v>5283.99</v>
      </c>
      <c r="G200" s="1">
        <v>45944</v>
      </c>
      <c r="H200" s="1">
        <v>45951</v>
      </c>
      <c r="I200" s="1" t="str">
        <f>TEXT(ecommerce_store_dataset[[#This Row],[Delivery_date]],"mmm")</f>
        <v>Oct</v>
      </c>
      <c r="J200" t="s">
        <v>28</v>
      </c>
      <c r="K200" t="s">
        <v>29</v>
      </c>
      <c r="L200" t="s">
        <v>17</v>
      </c>
      <c r="M200" t="s">
        <v>18</v>
      </c>
      <c r="N200">
        <v>52</v>
      </c>
    </row>
    <row r="201" spans="1:14" x14ac:dyDescent="0.25">
      <c r="A201" t="s">
        <v>283</v>
      </c>
      <c r="B201" t="s">
        <v>114</v>
      </c>
      <c r="C201" t="s">
        <v>68</v>
      </c>
      <c r="D201" s="2">
        <v>663.78</v>
      </c>
      <c r="E201">
        <v>2</v>
      </c>
      <c r="F201" s="2">
        <f>ecommerce_store_dataset[[#This Row],[price]]*ecommerce_store_dataset[[#This Row],[qty]]</f>
        <v>1327.56</v>
      </c>
      <c r="G201" s="1">
        <v>45806</v>
      </c>
      <c r="H201" s="1">
        <v>45808</v>
      </c>
      <c r="I201" s="1" t="str">
        <f>TEXT(ecommerce_store_dataset[[#This Row],[Delivery_date]],"mmm")</f>
        <v>May</v>
      </c>
      <c r="J201" t="s">
        <v>32</v>
      </c>
      <c r="K201" t="s">
        <v>29</v>
      </c>
      <c r="L201" t="s">
        <v>41</v>
      </c>
      <c r="M201" t="s">
        <v>18</v>
      </c>
      <c r="N201">
        <v>59</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E46D6-8759-4BE8-882D-76EA458DAF13}">
  <dimension ref="B3:X29"/>
  <sheetViews>
    <sheetView topLeftCell="B4" zoomScale="90" zoomScaleNormal="90" workbookViewId="0">
      <selection activeCell="K23" sqref="K23"/>
    </sheetView>
  </sheetViews>
  <sheetFormatPr defaultRowHeight="15" x14ac:dyDescent="0.25"/>
  <cols>
    <col min="2" max="2" width="16.7109375" bestFit="1" customWidth="1"/>
    <col min="3" max="3" width="16.42578125" bestFit="1" customWidth="1"/>
    <col min="4" max="4" width="15.28515625" bestFit="1" customWidth="1"/>
    <col min="5" max="5" width="16" bestFit="1" customWidth="1"/>
    <col min="6" max="6" width="15.85546875" bestFit="1" customWidth="1"/>
    <col min="7" max="7" width="15.5703125" bestFit="1" customWidth="1"/>
    <col min="8" max="8" width="13.28515625" bestFit="1" customWidth="1"/>
    <col min="9" max="9" width="22.28515625" bestFit="1" customWidth="1"/>
    <col min="10" max="10" width="13.28515625" bestFit="1" customWidth="1"/>
    <col min="11" max="11" width="16.85546875" bestFit="1" customWidth="1"/>
    <col min="13" max="13" width="13.28515625" bestFit="1" customWidth="1"/>
    <col min="14" max="14" width="15.42578125" bestFit="1" customWidth="1"/>
    <col min="16" max="16" width="20" bestFit="1" customWidth="1"/>
    <col min="17" max="17" width="21.85546875" bestFit="1" customWidth="1"/>
    <col min="19" max="19" width="13.28515625" bestFit="1" customWidth="1"/>
    <col min="20" max="20" width="15.42578125" bestFit="1" customWidth="1"/>
    <col min="22" max="22" width="15.85546875" bestFit="1" customWidth="1"/>
    <col min="23" max="23" width="16.85546875" bestFit="1" customWidth="1"/>
  </cols>
  <sheetData>
    <row r="3" spans="2:24" x14ac:dyDescent="0.25">
      <c r="B3" t="s">
        <v>285</v>
      </c>
      <c r="C3" t="s">
        <v>286</v>
      </c>
      <c r="D3" t="s">
        <v>287</v>
      </c>
      <c r="E3" t="s">
        <v>288</v>
      </c>
      <c r="H3" s="4" t="s">
        <v>289</v>
      </c>
      <c r="I3" t="s">
        <v>315</v>
      </c>
      <c r="J3" s="4" t="s">
        <v>289</v>
      </c>
      <c r="K3" t="s">
        <v>297</v>
      </c>
      <c r="M3" s="4" t="s">
        <v>289</v>
      </c>
      <c r="N3" t="s">
        <v>297</v>
      </c>
      <c r="P3" s="4" t="s">
        <v>289</v>
      </c>
      <c r="Q3" s="3" t="s">
        <v>311</v>
      </c>
      <c r="S3" s="4" t="s">
        <v>289</v>
      </c>
      <c r="T3" s="3" t="s">
        <v>311</v>
      </c>
      <c r="V3" s="4" t="s">
        <v>289</v>
      </c>
      <c r="W3" s="3" t="s">
        <v>312</v>
      </c>
    </row>
    <row r="4" spans="2:24" x14ac:dyDescent="0.25">
      <c r="B4" s="3">
        <v>200</v>
      </c>
      <c r="C4" s="3">
        <v>2106152.9299999997</v>
      </c>
      <c r="D4" s="3">
        <v>74637.349999999991</v>
      </c>
      <c r="E4" s="3">
        <v>135.24</v>
      </c>
      <c r="H4" s="5" t="s">
        <v>313</v>
      </c>
      <c r="I4" s="3">
        <v>197</v>
      </c>
      <c r="J4" s="5" t="s">
        <v>14</v>
      </c>
      <c r="K4" s="10">
        <v>238880.51999999996</v>
      </c>
      <c r="M4" s="5" t="s">
        <v>299</v>
      </c>
      <c r="N4" s="12">
        <v>165018.34999999998</v>
      </c>
      <c r="P4" s="5" t="s">
        <v>21</v>
      </c>
      <c r="Q4" s="3">
        <v>13</v>
      </c>
      <c r="S4" s="5" t="s">
        <v>29</v>
      </c>
      <c r="T4" s="3">
        <v>48</v>
      </c>
      <c r="V4" s="5" t="s">
        <v>23</v>
      </c>
      <c r="W4" s="3">
        <v>47</v>
      </c>
    </row>
    <row r="5" spans="2:24" x14ac:dyDescent="0.25">
      <c r="H5" s="5" t="s">
        <v>314</v>
      </c>
      <c r="I5" s="3">
        <v>3</v>
      </c>
      <c r="J5" s="5" t="s">
        <v>53</v>
      </c>
      <c r="K5" s="10">
        <v>339459.37000000005</v>
      </c>
      <c r="M5" s="5" t="s">
        <v>300</v>
      </c>
      <c r="N5" s="12">
        <v>266055.38</v>
      </c>
      <c r="P5" s="5" t="s">
        <v>32</v>
      </c>
      <c r="Q5" s="3">
        <v>12</v>
      </c>
      <c r="S5" s="5" t="s">
        <v>37</v>
      </c>
      <c r="T5" s="3">
        <v>32</v>
      </c>
      <c r="V5" s="5" t="s">
        <v>30</v>
      </c>
      <c r="W5" s="3">
        <v>43</v>
      </c>
    </row>
    <row r="6" spans="2:24" ht="21" x14ac:dyDescent="0.35">
      <c r="B6" s="15" t="s">
        <v>291</v>
      </c>
      <c r="C6" s="15"/>
      <c r="D6" s="15"/>
      <c r="E6" s="15"/>
      <c r="F6" s="15"/>
      <c r="H6" s="5" t="s">
        <v>290</v>
      </c>
      <c r="I6" s="3">
        <v>200</v>
      </c>
      <c r="J6" s="5" t="s">
        <v>27</v>
      </c>
      <c r="K6" s="10">
        <v>1464158.1800000004</v>
      </c>
      <c r="M6" s="5" t="s">
        <v>301</v>
      </c>
      <c r="N6" s="12">
        <v>231720.08000000002</v>
      </c>
      <c r="P6" s="5" t="s">
        <v>49</v>
      </c>
      <c r="Q6" s="3">
        <v>12</v>
      </c>
      <c r="S6" s="5" t="s">
        <v>16</v>
      </c>
      <c r="T6" s="3">
        <v>38</v>
      </c>
      <c r="V6" s="5" t="s">
        <v>41</v>
      </c>
      <c r="W6" s="3">
        <v>38</v>
      </c>
    </row>
    <row r="7" spans="2:24" ht="15.75" x14ac:dyDescent="0.25">
      <c r="B7" s="7" t="s">
        <v>292</v>
      </c>
      <c r="C7" s="7" t="s">
        <v>293</v>
      </c>
      <c r="D7" s="7" t="s">
        <v>294</v>
      </c>
      <c r="E7" s="7" t="s">
        <v>295</v>
      </c>
      <c r="F7" s="7" t="s">
        <v>296</v>
      </c>
      <c r="J7" s="5" t="s">
        <v>68</v>
      </c>
      <c r="K7" s="10">
        <v>63654.859999999986</v>
      </c>
      <c r="M7" s="5" t="s">
        <v>302</v>
      </c>
      <c r="N7" s="12">
        <v>167216.28999999998</v>
      </c>
      <c r="P7" s="5" t="s">
        <v>46</v>
      </c>
      <c r="Q7" s="3">
        <v>12</v>
      </c>
      <c r="S7" s="5" t="s">
        <v>22</v>
      </c>
      <c r="T7" s="3">
        <v>37</v>
      </c>
      <c r="V7" s="5" t="s">
        <v>33</v>
      </c>
      <c r="W7" s="3">
        <v>42</v>
      </c>
    </row>
    <row r="8" spans="2:24" x14ac:dyDescent="0.25">
      <c r="B8" s="6">
        <f>GETPIVOTDATA("Count of order_id",$B$3)</f>
        <v>200</v>
      </c>
      <c r="C8" s="8">
        <f>GETPIVOTDATA("Sum of  Amount3",$B$3)</f>
        <v>2106152.9299999997</v>
      </c>
      <c r="D8" s="9">
        <f>GETPIVOTDATA("Max of  Amount",$B$3)</f>
        <v>74637.349999999991</v>
      </c>
      <c r="E8" s="9">
        <f>GETPIVOTDATA("Min of  Amount2",$B$3)</f>
        <v>135.24</v>
      </c>
      <c r="F8" s="6">
        <f>COUNTA('Rough Work'!$A$2:$A$31)</f>
        <v>30</v>
      </c>
      <c r="J8" s="5" t="s">
        <v>290</v>
      </c>
      <c r="K8" s="11">
        <v>2106152.9300000002</v>
      </c>
      <c r="M8" s="5" t="s">
        <v>303</v>
      </c>
      <c r="N8" s="12">
        <v>93410.87000000001</v>
      </c>
      <c r="P8" s="5" t="s">
        <v>40</v>
      </c>
      <c r="Q8" s="3">
        <v>11</v>
      </c>
      <c r="S8" s="5" t="s">
        <v>50</v>
      </c>
      <c r="T8" s="3">
        <v>45</v>
      </c>
      <c r="V8" s="5" t="s">
        <v>17</v>
      </c>
      <c r="W8" s="3">
        <v>30</v>
      </c>
    </row>
    <row r="9" spans="2:24" x14ac:dyDescent="0.25">
      <c r="M9" s="5" t="s">
        <v>304</v>
      </c>
      <c r="N9" s="12">
        <v>323012.44999999995</v>
      </c>
      <c r="P9" s="5" t="s">
        <v>15</v>
      </c>
      <c r="Q9" s="3">
        <v>10</v>
      </c>
      <c r="S9" s="5" t="s">
        <v>290</v>
      </c>
      <c r="T9" s="3">
        <v>200</v>
      </c>
      <c r="V9" s="5" t="s">
        <v>290</v>
      </c>
      <c r="W9" s="3">
        <v>200</v>
      </c>
    </row>
    <row r="10" spans="2:24" x14ac:dyDescent="0.25">
      <c r="M10" s="5" t="s">
        <v>305</v>
      </c>
      <c r="N10" s="12">
        <v>120344.62</v>
      </c>
      <c r="P10" s="5" t="s">
        <v>65</v>
      </c>
      <c r="Q10" s="3">
        <v>10</v>
      </c>
    </row>
    <row r="11" spans="2:24" x14ac:dyDescent="0.25">
      <c r="M11" s="5" t="s">
        <v>306</v>
      </c>
      <c r="N11" s="12">
        <v>202568.11999999997</v>
      </c>
      <c r="P11" s="5" t="s">
        <v>82</v>
      </c>
      <c r="Q11" s="3">
        <v>10</v>
      </c>
    </row>
    <row r="12" spans="2:24" x14ac:dyDescent="0.25">
      <c r="J12" s="4" t="s">
        <v>289</v>
      </c>
      <c r="K12" t="s">
        <v>312</v>
      </c>
      <c r="M12" s="5" t="s">
        <v>307</v>
      </c>
      <c r="N12" s="12">
        <v>171738.58000000005</v>
      </c>
      <c r="O12" s="4"/>
      <c r="P12" s="5" t="s">
        <v>36</v>
      </c>
      <c r="Q12" s="3">
        <v>9</v>
      </c>
      <c r="R12" s="4"/>
      <c r="S12" s="4"/>
      <c r="T12" s="4"/>
      <c r="U12" s="4"/>
      <c r="V12" s="4"/>
      <c r="W12" s="4"/>
      <c r="X12" s="4"/>
    </row>
    <row r="13" spans="2:24" x14ac:dyDescent="0.25">
      <c r="J13" s="5" t="s">
        <v>317</v>
      </c>
      <c r="K13" s="3">
        <v>50</v>
      </c>
      <c r="M13" s="5" t="s">
        <v>308</v>
      </c>
      <c r="N13" s="12">
        <v>121203.22</v>
      </c>
      <c r="P13" s="5" t="s">
        <v>69</v>
      </c>
      <c r="Q13" s="3">
        <v>9</v>
      </c>
      <c r="S13" s="4" t="s">
        <v>289</v>
      </c>
      <c r="T13" s="3" t="s">
        <v>297</v>
      </c>
      <c r="V13" s="4"/>
      <c r="W13" s="4"/>
      <c r="X13" s="4"/>
    </row>
    <row r="14" spans="2:24" x14ac:dyDescent="0.25">
      <c r="J14" s="5" t="s">
        <v>318</v>
      </c>
      <c r="K14" s="3">
        <v>49</v>
      </c>
      <c r="M14" s="5" t="s">
        <v>309</v>
      </c>
      <c r="N14" s="12">
        <v>92049</v>
      </c>
      <c r="P14" s="5" t="s">
        <v>59</v>
      </c>
      <c r="Q14" s="3">
        <v>9</v>
      </c>
      <c r="S14" s="5" t="s">
        <v>65</v>
      </c>
      <c r="T14" s="12">
        <v>197111.91</v>
      </c>
    </row>
    <row r="15" spans="2:24" x14ac:dyDescent="0.25">
      <c r="J15" s="5" t="s">
        <v>319</v>
      </c>
      <c r="K15" s="3">
        <v>49</v>
      </c>
      <c r="M15" s="5" t="s">
        <v>310</v>
      </c>
      <c r="N15" s="12">
        <v>151815.96999999997</v>
      </c>
      <c r="P15" s="5" t="s">
        <v>147</v>
      </c>
      <c r="Q15" s="3">
        <v>8</v>
      </c>
      <c r="S15" s="5" t="s">
        <v>97</v>
      </c>
      <c r="T15" s="12">
        <v>186306.4</v>
      </c>
    </row>
    <row r="16" spans="2:24" x14ac:dyDescent="0.25">
      <c r="J16" s="5" t="s">
        <v>320</v>
      </c>
      <c r="K16" s="3">
        <v>52</v>
      </c>
      <c r="M16" s="5" t="s">
        <v>290</v>
      </c>
      <c r="N16" s="13">
        <v>2106152.9299999997</v>
      </c>
      <c r="P16" s="5" t="s">
        <v>90</v>
      </c>
      <c r="Q16" s="3">
        <v>8</v>
      </c>
      <c r="S16" s="5" t="s">
        <v>40</v>
      </c>
      <c r="T16" s="12">
        <v>128204.76000000001</v>
      </c>
    </row>
    <row r="17" spans="10:20" x14ac:dyDescent="0.25">
      <c r="J17" s="5" t="s">
        <v>290</v>
      </c>
      <c r="K17" s="3">
        <v>200</v>
      </c>
      <c r="P17" s="5" t="s">
        <v>97</v>
      </c>
      <c r="Q17" s="3">
        <v>8</v>
      </c>
      <c r="S17" s="5" t="s">
        <v>121</v>
      </c>
      <c r="T17" s="12">
        <v>126837.73999999999</v>
      </c>
    </row>
    <row r="18" spans="10:20" x14ac:dyDescent="0.25">
      <c r="P18" s="5" t="s">
        <v>74</v>
      </c>
      <c r="Q18" s="3">
        <v>7</v>
      </c>
      <c r="S18" s="5" t="s">
        <v>21</v>
      </c>
      <c r="T18" s="12">
        <v>116291.24999999999</v>
      </c>
    </row>
    <row r="19" spans="10:20" x14ac:dyDescent="0.25">
      <c r="P19" s="5" t="s">
        <v>101</v>
      </c>
      <c r="Q19" s="3">
        <v>7</v>
      </c>
      <c r="S19" s="5" t="s">
        <v>290</v>
      </c>
      <c r="T19" s="12">
        <v>754752.05999999994</v>
      </c>
    </row>
    <row r="20" spans="10:20" x14ac:dyDescent="0.25">
      <c r="P20" s="5" t="s">
        <v>55</v>
      </c>
      <c r="Q20" s="3">
        <v>7</v>
      </c>
    </row>
    <row r="21" spans="10:20" x14ac:dyDescent="0.25">
      <c r="P21" s="5" t="s">
        <v>127</v>
      </c>
      <c r="Q21" s="3">
        <v>6</v>
      </c>
    </row>
    <row r="22" spans="10:20" x14ac:dyDescent="0.25">
      <c r="P22" s="5" t="s">
        <v>116</v>
      </c>
      <c r="Q22" s="3">
        <v>6</v>
      </c>
    </row>
    <row r="23" spans="10:20" x14ac:dyDescent="0.25">
      <c r="P23" s="5" t="s">
        <v>28</v>
      </c>
      <c r="Q23" s="3">
        <v>6</v>
      </c>
    </row>
    <row r="24" spans="10:20" x14ac:dyDescent="0.25">
      <c r="P24" s="5" t="s">
        <v>145</v>
      </c>
      <c r="Q24" s="3">
        <v>5</v>
      </c>
    </row>
    <row r="25" spans="10:20" x14ac:dyDescent="0.25">
      <c r="P25" s="5" t="s">
        <v>78</v>
      </c>
      <c r="Q25" s="3">
        <v>5</v>
      </c>
    </row>
    <row r="26" spans="10:20" x14ac:dyDescent="0.25">
      <c r="P26" s="5" t="s">
        <v>109</v>
      </c>
      <c r="Q26" s="3">
        <v>4</v>
      </c>
    </row>
    <row r="27" spans="10:20" x14ac:dyDescent="0.25">
      <c r="P27" s="5" t="s">
        <v>121</v>
      </c>
      <c r="Q27" s="3">
        <v>4</v>
      </c>
    </row>
    <row r="28" spans="10:20" x14ac:dyDescent="0.25">
      <c r="P28" s="5" t="s">
        <v>44</v>
      </c>
      <c r="Q28" s="3">
        <v>2</v>
      </c>
    </row>
    <row r="29" spans="10:20" x14ac:dyDescent="0.25">
      <c r="P29" s="5" t="s">
        <v>290</v>
      </c>
      <c r="Q29" s="3">
        <v>200</v>
      </c>
    </row>
  </sheetData>
  <mergeCells count="1">
    <mergeCell ref="B6:F6"/>
  </mergeCells>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E3273-DBF5-4FF7-BD75-CD745E86AC0E}">
  <dimension ref="AB9"/>
  <sheetViews>
    <sheetView tabSelected="1" zoomScale="60" zoomScaleNormal="60" workbookViewId="0">
      <selection activeCell="Z16" sqref="Z16"/>
    </sheetView>
  </sheetViews>
  <sheetFormatPr defaultRowHeight="15" x14ac:dyDescent="0.25"/>
  <sheetData>
    <row r="9" spans="28:28" x14ac:dyDescent="0.25">
      <c r="AB9" s="1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21AB75-540B-441D-850B-3A4BC02E0F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Rough Work</vt:lpstr>
      <vt:lpstr>Data set</vt:lpstr>
      <vt:lpstr>Pivot Table</vt:lpstr>
      <vt:lpstr>Dash Board</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2026-05-24T12:25:55Z</dcterms:created>
  <dcterms:modified xsi:type="dcterms:W3CDTF">2026-06-06T12:30:41Z</dcterms:modified>
</cp:coreProperties>
</file>