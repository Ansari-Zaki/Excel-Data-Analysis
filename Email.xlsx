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ki DA\Excel-Data-Analysis\"/>
    </mc:Choice>
  </mc:AlternateContent>
  <xr:revisionPtr revIDLastSave="0" documentId="8_{5476C04F-AAC2-41A0-B076-B84B8267C0B0}" xr6:coauthVersionLast="36" xr6:coauthVersionMax="36" xr10:uidLastSave="{00000000-0000-0000-0000-000000000000}"/>
  <bookViews>
    <workbookView xWindow="0" yWindow="0" windowWidth="20490" windowHeight="7005" xr2:uid="{E86BAE9B-F81D-4966-A2F7-3E86BA4E3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1" l="1"/>
  <c r="K7" i="1" s="1"/>
  <c r="O8" i="1"/>
  <c r="K8" i="1" s="1"/>
  <c r="O13" i="1"/>
  <c r="K13" i="1" s="1"/>
  <c r="O14" i="1"/>
  <c r="K14" i="1" s="1"/>
  <c r="O20" i="1"/>
  <c r="K20" i="1" s="1"/>
  <c r="O21" i="1"/>
  <c r="K21" i="1" s="1"/>
  <c r="O26" i="1"/>
  <c r="K26" i="1" s="1"/>
  <c r="O27" i="1"/>
  <c r="K27" i="1" s="1"/>
  <c r="O32" i="1"/>
  <c r="K32" i="1" s="1"/>
  <c r="O33" i="1"/>
  <c r="K33" i="1" s="1"/>
  <c r="O38" i="1"/>
  <c r="K38" i="1" s="1"/>
  <c r="O39" i="1"/>
  <c r="K39" i="1" s="1"/>
  <c r="O44" i="1"/>
  <c r="K44" i="1" s="1"/>
  <c r="O45" i="1"/>
  <c r="K45" i="1" s="1"/>
  <c r="O50" i="1"/>
  <c r="K50" i="1" s="1"/>
  <c r="O51" i="1"/>
  <c r="K51" i="1" s="1"/>
  <c r="I52" i="1"/>
  <c r="I51" i="1"/>
  <c r="I50" i="1"/>
  <c r="I49" i="1"/>
  <c r="O49" i="1" s="1"/>
  <c r="K49" i="1" s="1"/>
  <c r="I48" i="1"/>
  <c r="O48" i="1" s="1"/>
  <c r="K48" i="1" s="1"/>
  <c r="I47" i="1"/>
  <c r="O47" i="1" s="1"/>
  <c r="K47" i="1" s="1"/>
  <c r="I46" i="1"/>
  <c r="O46" i="1" s="1"/>
  <c r="K46" i="1" s="1"/>
  <c r="I45" i="1"/>
  <c r="I44" i="1"/>
  <c r="I43" i="1"/>
  <c r="O43" i="1" s="1"/>
  <c r="K43" i="1" s="1"/>
  <c r="I42" i="1"/>
  <c r="O42" i="1" s="1"/>
  <c r="K42" i="1" s="1"/>
  <c r="I41" i="1"/>
  <c r="O41" i="1" s="1"/>
  <c r="K41" i="1" s="1"/>
  <c r="I40" i="1"/>
  <c r="O40" i="1" s="1"/>
  <c r="K40" i="1" s="1"/>
  <c r="I39" i="1"/>
  <c r="I38" i="1"/>
  <c r="I37" i="1"/>
  <c r="O37" i="1" s="1"/>
  <c r="K37" i="1" s="1"/>
  <c r="I36" i="1"/>
  <c r="O36" i="1" s="1"/>
  <c r="K36" i="1" s="1"/>
  <c r="I35" i="1"/>
  <c r="O35" i="1" s="1"/>
  <c r="K35" i="1" s="1"/>
  <c r="I34" i="1"/>
  <c r="O34" i="1" s="1"/>
  <c r="K34" i="1" s="1"/>
  <c r="I33" i="1"/>
  <c r="I32" i="1"/>
  <c r="I31" i="1"/>
  <c r="O31" i="1" s="1"/>
  <c r="K31" i="1" s="1"/>
  <c r="I30" i="1"/>
  <c r="O30" i="1" s="1"/>
  <c r="K30" i="1" s="1"/>
  <c r="I29" i="1"/>
  <c r="O29" i="1" s="1"/>
  <c r="K29" i="1" s="1"/>
  <c r="I28" i="1"/>
  <c r="O28" i="1" s="1"/>
  <c r="K28" i="1" s="1"/>
  <c r="I27" i="1"/>
  <c r="I26" i="1"/>
  <c r="I25" i="1"/>
  <c r="O25" i="1" s="1"/>
  <c r="K25" i="1" s="1"/>
  <c r="I24" i="1"/>
  <c r="O24" i="1" s="1"/>
  <c r="K24" i="1" s="1"/>
  <c r="I23" i="1"/>
  <c r="O23" i="1" s="1"/>
  <c r="K23" i="1" s="1"/>
  <c r="I22" i="1"/>
  <c r="O22" i="1" s="1"/>
  <c r="K22" i="1" s="1"/>
  <c r="I21" i="1"/>
  <c r="I20" i="1"/>
  <c r="I19" i="1"/>
  <c r="O19" i="1" s="1"/>
  <c r="K19" i="1" s="1"/>
  <c r="I18" i="1"/>
  <c r="O18" i="1" s="1"/>
  <c r="K18" i="1" s="1"/>
  <c r="I53" i="1"/>
  <c r="I54" i="1"/>
  <c r="I55" i="1"/>
  <c r="I56" i="1"/>
  <c r="I57" i="1"/>
  <c r="I58" i="1"/>
  <c r="I59" i="1"/>
  <c r="I60" i="1"/>
  <c r="I61" i="1"/>
  <c r="I17" i="1"/>
  <c r="O17" i="1" s="1"/>
  <c r="K17" i="1" s="1"/>
  <c r="I16" i="1"/>
  <c r="O16" i="1" s="1"/>
  <c r="K16" i="1" s="1"/>
  <c r="I15" i="1"/>
  <c r="O15" i="1" s="1"/>
  <c r="K15" i="1" s="1"/>
  <c r="I14" i="1"/>
  <c r="I13" i="1"/>
  <c r="I12" i="1"/>
  <c r="O12" i="1" s="1"/>
  <c r="K12" i="1" s="1"/>
  <c r="I11" i="1"/>
  <c r="O11" i="1" s="1"/>
  <c r="K11" i="1" s="1"/>
  <c r="I10" i="1"/>
  <c r="O10" i="1" s="1"/>
  <c r="K10" i="1" s="1"/>
  <c r="I9" i="1"/>
  <c r="O9" i="1" s="1"/>
  <c r="K9" i="1" s="1"/>
  <c r="I7" i="1"/>
  <c r="I8" i="1"/>
  <c r="I5" i="1"/>
  <c r="O5" i="1" s="1"/>
  <c r="K5" i="1" s="1"/>
  <c r="I6" i="1"/>
  <c r="O6" i="1" s="1"/>
  <c r="K6" i="1" s="1"/>
  <c r="I4" i="1"/>
  <c r="O4" i="1" s="1"/>
  <c r="K4" i="1" s="1"/>
  <c r="I3" i="1"/>
  <c r="O3" i="1" s="1"/>
  <c r="K3" i="1" s="1"/>
  <c r="I2" i="1"/>
  <c r="O2" i="1" s="1"/>
  <c r="K2" i="1" s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3" i="1"/>
  <c r="J2" i="1"/>
</calcChain>
</file>

<file path=xl/sharedStrings.xml><?xml version="1.0" encoding="utf-8"?>
<sst xmlns="http://schemas.openxmlformats.org/spreadsheetml/2006/main" count="160" uniqueCount="108">
  <si>
    <t>Staff_ID</t>
  </si>
  <si>
    <t>Full_Name</t>
  </si>
  <si>
    <t>DOB</t>
  </si>
  <si>
    <t>Mobile_No</t>
  </si>
  <si>
    <t>Current_Age</t>
  </si>
  <si>
    <t>ID-A101</t>
  </si>
  <si>
    <t xml:space="preserve">   john SMITH   </t>
  </si>
  <si>
    <t>ID-B202</t>
  </si>
  <si>
    <t>SARAH jenkins</t>
  </si>
  <si>
    <t>ID-C303</t>
  </si>
  <si>
    <t xml:space="preserve"> ryan O'CONNOR </t>
  </si>
  <si>
    <t>ID-D404</t>
  </si>
  <si>
    <t xml:space="preserve">ALICE wang  </t>
  </si>
  <si>
    <t>ID-E505</t>
  </si>
  <si>
    <t xml:space="preserve">  kevin hart </t>
  </si>
  <si>
    <t>ID-F606</t>
  </si>
  <si>
    <t>SARA j. PARKER</t>
  </si>
  <si>
    <t>ID-G707</t>
  </si>
  <si>
    <t xml:space="preserve">  micheal b. </t>
  </si>
  <si>
    <t>ID-H808</t>
  </si>
  <si>
    <t>LINDA carter</t>
  </si>
  <si>
    <t>ID-I909</t>
  </si>
  <si>
    <t xml:space="preserve">  bruce WAYNE</t>
  </si>
  <si>
    <t>ID-J010</t>
  </si>
  <si>
    <t>clark KENT</t>
  </si>
  <si>
    <t>ID-K111</t>
  </si>
  <si>
    <t xml:space="preserve">  DIANA prince </t>
  </si>
  <si>
    <t>ID-L212</t>
  </si>
  <si>
    <t>barry ALLEN</t>
  </si>
  <si>
    <t>ID-M313</t>
  </si>
  <si>
    <t xml:space="preserve">  Arthur Curry</t>
  </si>
  <si>
    <t>ID-N414</t>
  </si>
  <si>
    <t>VICTOR stone</t>
  </si>
  <si>
    <t>ID-O515</t>
  </si>
  <si>
    <t xml:space="preserve">  hal JORDAN</t>
  </si>
  <si>
    <t>ID-P616</t>
  </si>
  <si>
    <t xml:space="preserve">Selina Kyle  </t>
  </si>
  <si>
    <t>ID-Q717</t>
  </si>
  <si>
    <t xml:space="preserve">  harvey DENT</t>
  </si>
  <si>
    <t>ID-R818</t>
  </si>
  <si>
    <t>james GORDON</t>
  </si>
  <si>
    <t>ID-S919</t>
  </si>
  <si>
    <t xml:space="preserve">  BARBARA g. </t>
  </si>
  <si>
    <t>ID-T020</t>
  </si>
  <si>
    <t>tony STARK</t>
  </si>
  <si>
    <t>ID-U121</t>
  </si>
  <si>
    <t xml:space="preserve">  steve ROGERS</t>
  </si>
  <si>
    <t>ID-V222</t>
  </si>
  <si>
    <t xml:space="preserve">NATASHA r. </t>
  </si>
  <si>
    <t>ID-W323</t>
  </si>
  <si>
    <t xml:space="preserve">  BRUCE banner</t>
  </si>
  <si>
    <t>ID-X424</t>
  </si>
  <si>
    <t>thor ODINSON</t>
  </si>
  <si>
    <t>ID-Y525</t>
  </si>
  <si>
    <t xml:space="preserve">  WANDA maximoff</t>
  </si>
  <si>
    <t>ID-Z626</t>
  </si>
  <si>
    <t>vision ANDROID</t>
  </si>
  <si>
    <t>ID-A727</t>
  </si>
  <si>
    <t xml:space="preserve">  PETER parker</t>
  </si>
  <si>
    <t>ID-B828</t>
  </si>
  <si>
    <t>stephen STRANGE</t>
  </si>
  <si>
    <t>ID-C929</t>
  </si>
  <si>
    <t xml:space="preserve">  SAM wilson</t>
  </si>
  <si>
    <t>ID-D030</t>
  </si>
  <si>
    <t>BUCKY barnes</t>
  </si>
  <si>
    <t>ID-E131</t>
  </si>
  <si>
    <t xml:space="preserve">  SCOTT lang</t>
  </si>
  <si>
    <t>ID-F232</t>
  </si>
  <si>
    <t>hope VAN DYNE</t>
  </si>
  <si>
    <t>ID-G333</t>
  </si>
  <si>
    <t xml:space="preserve">  T'CHALLA king</t>
  </si>
  <si>
    <t>ID-H434</t>
  </si>
  <si>
    <t>shuri PRINCESS</t>
  </si>
  <si>
    <t>ID-I535</t>
  </si>
  <si>
    <t xml:space="preserve">  CAROL danvers</t>
  </si>
  <si>
    <t>ID-J636</t>
  </si>
  <si>
    <t>nick FURY</t>
  </si>
  <si>
    <t>ID-K737</t>
  </si>
  <si>
    <t xml:space="preserve">  MARIA hill</t>
  </si>
  <si>
    <t>ID-L838</t>
  </si>
  <si>
    <t>phil COULSON</t>
  </si>
  <si>
    <t>ID-M939</t>
  </si>
  <si>
    <t xml:space="preserve">  CLINT barton</t>
  </si>
  <si>
    <t>ID-N040</t>
  </si>
  <si>
    <t>kate BISHOP</t>
  </si>
  <si>
    <t>ID-O141</t>
  </si>
  <si>
    <t xml:space="preserve">  MATT murdock</t>
  </si>
  <si>
    <t>ID-P242</t>
  </si>
  <si>
    <t>jessica JONES</t>
  </si>
  <si>
    <t>ID-Q343</t>
  </si>
  <si>
    <t xml:space="preserve">  LUKE cage</t>
  </si>
  <si>
    <t>ID-R444</t>
  </si>
  <si>
    <t>danny RAND</t>
  </si>
  <si>
    <t>ID-S545</t>
  </si>
  <si>
    <t xml:space="preserve">  FRANK castle</t>
  </si>
  <si>
    <t>ID-T646</t>
  </si>
  <si>
    <t>REED richards</t>
  </si>
  <si>
    <t>ID-U747</t>
  </si>
  <si>
    <t xml:space="preserve">  SUE storm</t>
  </si>
  <si>
    <t>ID-V848</t>
  </si>
  <si>
    <t>johnny STORM</t>
  </si>
  <si>
    <t>ID-W949</t>
  </si>
  <si>
    <t xml:space="preserve">  BEN grimm</t>
  </si>
  <si>
    <t>ID-X050</t>
  </si>
  <si>
    <t>charles XAVIER</t>
  </si>
  <si>
    <t>Age</t>
  </si>
  <si>
    <t>Email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</si>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</sst>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330C7-5534-4E5A-981A-29B302A37991}">
  <dimension ref="A1:P61"/>
  <sheetViews>
    <sheetView tabSelected="1" workbookViewId="0">
      <selection activeCell="F7" sqref="F7"/>
    </sheetView>
  </sheetViews>
  <sheetFormatPr defaultRowHeight="15" x14ac:dyDescent="0.25"/>
  <cols>
    <col min="2" max="2" width="18.28515625" bestFit="1" customWidth="1"/>
    <col min="3" max="3" width="12.140625" bestFit="1" customWidth="1"/>
    <col min="4" max="4" width="11" bestFit="1" customWidth="1"/>
    <col min="5" max="5" width="12.140625" bestFit="1" customWidth="1"/>
    <col min="9" max="9" width="16.28515625" bestFit="1" customWidth="1"/>
    <col min="11" max="11" width="29" bestFit="1" customWidth="1"/>
    <col min="15" max="15" width="15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s="4" t="s">
        <v>0</v>
      </c>
      <c r="I1" s="4" t="s">
        <v>1</v>
      </c>
      <c r="J1" s="4" t="s">
        <v>105</v>
      </c>
      <c r="K1" s="4" t="s">
        <v>106</v>
      </c>
    </row>
    <row r="2" spans="1:16" x14ac:dyDescent="0.25">
      <c r="A2" t="s">
        <v>5</v>
      </c>
      <c r="B2" t="s">
        <v>6</v>
      </c>
      <c r="C2" s="1">
        <v>31179</v>
      </c>
      <c r="D2">
        <v>9876543210</v>
      </c>
      <c r="E2">
        <v>40.799999999999997</v>
      </c>
      <c r="H2" s="3" t="s">
        <v>5</v>
      </c>
      <c r="I2" s="3" t="str">
        <f>CLEAN(TRIM(PROPER($B$2)))</f>
        <v>John Smith</v>
      </c>
      <c r="J2" s="3">
        <f>ROUND(E2,0)</f>
        <v>41</v>
      </c>
      <c r="K2" s="3" t="str">
        <f>_xlfn.CONCAT(O2,J2,"@gmail.com")</f>
        <v>johnsmith41@gmail.com</v>
      </c>
      <c r="O2" t="str">
        <f>LOWER(SUBSTITUTE(I2," ",""))</f>
        <v>johnsmith</v>
      </c>
      <c r="P2" t="s">
        <v>107</v>
      </c>
    </row>
    <row r="3" spans="1:16" x14ac:dyDescent="0.25">
      <c r="A3" t="s">
        <v>7</v>
      </c>
      <c r="B3" t="s">
        <v>8</v>
      </c>
      <c r="C3" s="1">
        <v>31180</v>
      </c>
      <c r="D3" s="2">
        <v>7020297577</v>
      </c>
      <c r="E3">
        <v>33.4</v>
      </c>
      <c r="H3" s="3" t="s">
        <v>7</v>
      </c>
      <c r="I3" s="3" t="str">
        <f>CLEAN(TRIM(PROPER($B$3)))</f>
        <v>Sarah Jenkins</v>
      </c>
      <c r="J3" s="3">
        <f>ROUND(E3,0)</f>
        <v>33</v>
      </c>
      <c r="K3" s="3" t="str">
        <f t="shared" ref="K3:K51" si="0">_xlfn.CONCAT(O3,J3,"@gmail.com")</f>
        <v>sarahjenkins33@gmail.com</v>
      </c>
      <c r="O3" t="str">
        <f t="shared" ref="O3:O51" si="1">LOWER(SUBSTITUTE(I3," ",""))</f>
        <v>sarahjenkins</v>
      </c>
    </row>
    <row r="4" spans="1:16" x14ac:dyDescent="0.25">
      <c r="A4" t="s">
        <v>9</v>
      </c>
      <c r="B4" t="s">
        <v>10</v>
      </c>
      <c r="C4" s="1">
        <v>31181</v>
      </c>
      <c r="D4">
        <v>4477009008</v>
      </c>
      <c r="E4">
        <v>48.2</v>
      </c>
      <c r="H4" s="3" t="s">
        <v>9</v>
      </c>
      <c r="I4" s="3" t="str">
        <f>CLEAN(TRIM(PROPER($B$4)))</f>
        <v>Ryan O'Connor</v>
      </c>
      <c r="J4" s="3">
        <f>ROUND(E4,0)</f>
        <v>48</v>
      </c>
      <c r="K4" s="3" t="str">
        <f t="shared" si="0"/>
        <v>ryano'connor48@gmail.com</v>
      </c>
      <c r="O4" t="str">
        <f t="shared" si="1"/>
        <v>ryano'connor</v>
      </c>
    </row>
    <row r="5" spans="1:16" x14ac:dyDescent="0.25">
      <c r="A5" t="s">
        <v>11</v>
      </c>
      <c r="B5" t="s">
        <v>12</v>
      </c>
      <c r="C5" s="1">
        <v>31182</v>
      </c>
      <c r="D5">
        <v>9988776655</v>
      </c>
      <c r="E5">
        <v>30.7</v>
      </c>
      <c r="H5" s="3" t="s">
        <v>11</v>
      </c>
      <c r="I5" s="3" t="str">
        <f>CLEAN(TRIM(PROPER($B$5)))</f>
        <v>Alice Wang</v>
      </c>
      <c r="J5" s="3">
        <f>ROUND(E5,0)</f>
        <v>31</v>
      </c>
      <c r="K5" s="3" t="str">
        <f t="shared" si="0"/>
        <v>alicewang31@gmail.com</v>
      </c>
      <c r="O5" t="str">
        <f t="shared" si="1"/>
        <v>alicewang</v>
      </c>
    </row>
    <row r="6" spans="1:16" x14ac:dyDescent="0.25">
      <c r="A6" t="s">
        <v>13</v>
      </c>
      <c r="B6" t="s">
        <v>14</v>
      </c>
      <c r="C6" s="1">
        <v>31183</v>
      </c>
      <c r="D6">
        <v>5550123456</v>
      </c>
      <c r="E6">
        <v>38.1</v>
      </c>
      <c r="H6" s="3" t="s">
        <v>13</v>
      </c>
      <c r="I6" s="3" t="str">
        <f t="shared" ref="I5:I61" si="2">CLEAN(TRIM(PROPER(B6)))</f>
        <v>Kevin Hart</v>
      </c>
      <c r="J6" s="3">
        <f>ROUND(E6,0)</f>
        <v>38</v>
      </c>
      <c r="K6" s="3" t="str">
        <f t="shared" si="0"/>
        <v>kevinhart38@gmail.com</v>
      </c>
      <c r="O6" t="str">
        <f t="shared" si="1"/>
        <v>kevinhart</v>
      </c>
    </row>
    <row r="7" spans="1:16" x14ac:dyDescent="0.25">
      <c r="A7" t="s">
        <v>15</v>
      </c>
      <c r="B7" t="s">
        <v>16</v>
      </c>
      <c r="C7" s="1">
        <v>31184</v>
      </c>
      <c r="D7">
        <v>7712345678</v>
      </c>
      <c r="E7">
        <v>43.3</v>
      </c>
      <c r="H7" s="3" t="s">
        <v>15</v>
      </c>
      <c r="I7" s="3" t="str">
        <f>CLEAN(TRIM(PROPER($B$7)))</f>
        <v>Sara J. Parker</v>
      </c>
      <c r="J7" s="3">
        <f>ROUND(E7,0)</f>
        <v>43</v>
      </c>
      <c r="K7" s="3" t="str">
        <f t="shared" si="0"/>
        <v>saraj.parker43@gmail.com</v>
      </c>
      <c r="O7" t="str">
        <f t="shared" si="1"/>
        <v>saraj.parker</v>
      </c>
    </row>
    <row r="8" spans="1:16" x14ac:dyDescent="0.25">
      <c r="A8" t="s">
        <v>17</v>
      </c>
      <c r="B8" t="s">
        <v>18</v>
      </c>
      <c r="C8" s="1">
        <v>31185</v>
      </c>
      <c r="D8">
        <v>9881122334</v>
      </c>
      <c r="E8">
        <v>35.6</v>
      </c>
      <c r="H8" s="3" t="s">
        <v>17</v>
      </c>
      <c r="I8" s="3" t="str">
        <f>CLEAN(TRIM(PROPER($B$8)))</f>
        <v>Micheal B.</v>
      </c>
      <c r="J8" s="3">
        <f>ROUND(E8,0)</f>
        <v>36</v>
      </c>
      <c r="K8" s="3" t="str">
        <f t="shared" si="0"/>
        <v>michealb.36@gmail.com</v>
      </c>
      <c r="O8" t="str">
        <f t="shared" si="1"/>
        <v>michealb.</v>
      </c>
    </row>
    <row r="9" spans="1:16" x14ac:dyDescent="0.25">
      <c r="A9" t="s">
        <v>19</v>
      </c>
      <c r="B9" t="s">
        <v>20</v>
      </c>
      <c r="C9" s="1">
        <v>31186</v>
      </c>
      <c r="D9">
        <v>1234567890</v>
      </c>
      <c r="E9">
        <v>50.9</v>
      </c>
      <c r="H9" s="3" t="s">
        <v>19</v>
      </c>
      <c r="I9" s="3" t="str">
        <f>CLEAN(TRIM(PROPER($B$9)))</f>
        <v>Linda Carter</v>
      </c>
      <c r="J9" s="3">
        <f>ROUND(E9,0)</f>
        <v>51</v>
      </c>
      <c r="K9" s="3" t="str">
        <f t="shared" si="0"/>
        <v>lindacarter51@gmail.com</v>
      </c>
      <c r="O9" t="str">
        <f t="shared" si="1"/>
        <v>lindacarter</v>
      </c>
    </row>
    <row r="10" spans="1:16" x14ac:dyDescent="0.25">
      <c r="A10" t="s">
        <v>21</v>
      </c>
      <c r="B10" t="s">
        <v>22</v>
      </c>
      <c r="C10" s="1">
        <v>31187</v>
      </c>
      <c r="D10">
        <v>9998887776</v>
      </c>
      <c r="E10">
        <v>46.1</v>
      </c>
      <c r="H10" s="3" t="s">
        <v>21</v>
      </c>
      <c r="I10" s="3" t="str">
        <f>CLEAN(TRIM(PROPER($B$10)))</f>
        <v>Bruce Wayne</v>
      </c>
      <c r="J10" s="3">
        <f>ROUND(E10,0)</f>
        <v>46</v>
      </c>
      <c r="K10" s="3" t="str">
        <f t="shared" si="0"/>
        <v>brucewayne46@gmail.com</v>
      </c>
      <c r="O10" t="str">
        <f t="shared" si="1"/>
        <v>brucewayne</v>
      </c>
    </row>
    <row r="11" spans="1:16" x14ac:dyDescent="0.25">
      <c r="A11" t="s">
        <v>23</v>
      </c>
      <c r="B11" t="s">
        <v>24</v>
      </c>
      <c r="C11" s="1">
        <v>31188</v>
      </c>
      <c r="D11">
        <v>8887776665</v>
      </c>
      <c r="E11">
        <v>41.8</v>
      </c>
      <c r="H11" s="3" t="s">
        <v>23</v>
      </c>
      <c r="I11" s="3" t="str">
        <f>CLEAN(TRIM(PROPER($B$11)))</f>
        <v>Clark Kent</v>
      </c>
      <c r="J11" s="3">
        <f>ROUND(E11,0)</f>
        <v>42</v>
      </c>
      <c r="K11" s="3" t="str">
        <f t="shared" si="0"/>
        <v>clarkkent42@gmail.com</v>
      </c>
      <c r="O11" t="str">
        <f t="shared" si="1"/>
        <v>clarkkent</v>
      </c>
    </row>
    <row r="12" spans="1:16" x14ac:dyDescent="0.25">
      <c r="A12" t="s">
        <v>25</v>
      </c>
      <c r="B12" t="s">
        <v>26</v>
      </c>
      <c r="C12" s="1">
        <v>31189</v>
      </c>
      <c r="D12">
        <v>7776665554</v>
      </c>
      <c r="E12">
        <v>42.6</v>
      </c>
      <c r="H12" s="3" t="s">
        <v>25</v>
      </c>
      <c r="I12" s="3" t="str">
        <f>CLEAN(TRIM(PROPER(B12)))</f>
        <v>Diana Prince</v>
      </c>
      <c r="J12" s="3">
        <f>ROUND(E12,0)</f>
        <v>43</v>
      </c>
      <c r="K12" s="3" t="str">
        <f t="shared" si="0"/>
        <v>dianaprince43@gmail.com</v>
      </c>
      <c r="O12" t="str">
        <f t="shared" si="1"/>
        <v>dianaprince</v>
      </c>
    </row>
    <row r="13" spans="1:16" x14ac:dyDescent="0.25">
      <c r="A13" t="s">
        <v>27</v>
      </c>
      <c r="B13" t="s">
        <v>28</v>
      </c>
      <c r="C13" s="1">
        <v>31190</v>
      </c>
      <c r="D13">
        <v>6665554443</v>
      </c>
      <c r="E13">
        <v>32.1</v>
      </c>
      <c r="H13" s="3" t="s">
        <v>27</v>
      </c>
      <c r="I13" s="3" t="str">
        <f>CLEAN(TRIM(PROPER($B$13)))</f>
        <v>Barry Allen</v>
      </c>
      <c r="J13" s="3">
        <f>ROUND(E13,0)</f>
        <v>32</v>
      </c>
      <c r="K13" s="3" t="str">
        <f t="shared" si="0"/>
        <v>barryallen32@gmail.com</v>
      </c>
      <c r="O13" t="str">
        <f t="shared" si="1"/>
        <v>barryallen</v>
      </c>
    </row>
    <row r="14" spans="1:16" x14ac:dyDescent="0.25">
      <c r="A14" t="s">
        <v>29</v>
      </c>
      <c r="B14" t="s">
        <v>30</v>
      </c>
      <c r="C14" s="1">
        <v>31191</v>
      </c>
      <c r="D14">
        <v>5554443332</v>
      </c>
      <c r="E14">
        <v>40.200000000000003</v>
      </c>
      <c r="H14" s="3" t="s">
        <v>29</v>
      </c>
      <c r="I14" s="3" t="str">
        <f>CLEAN(TRIM(PROPER($B$14)))</f>
        <v>Arthur Curry</v>
      </c>
      <c r="J14" s="3">
        <f>ROUND(E14,0)</f>
        <v>40</v>
      </c>
      <c r="K14" s="3" t="str">
        <f t="shared" si="0"/>
        <v>arthurcurry40@gmail.com</v>
      </c>
      <c r="O14" t="str">
        <f t="shared" si="1"/>
        <v>arthurcurry</v>
      </c>
    </row>
    <row r="15" spans="1:16" x14ac:dyDescent="0.25">
      <c r="A15" t="s">
        <v>31</v>
      </c>
      <c r="B15" t="s">
        <v>32</v>
      </c>
      <c r="C15" s="1">
        <v>31192</v>
      </c>
      <c r="D15">
        <v>4443332221</v>
      </c>
      <c r="E15">
        <v>27.4</v>
      </c>
      <c r="H15" s="3" t="s">
        <v>31</v>
      </c>
      <c r="I15" s="3" t="str">
        <f>CLEAN(TRIM(PROPER($B$15)))</f>
        <v>Victor Stone</v>
      </c>
      <c r="J15" s="3">
        <f>ROUND(E15,0)</f>
        <v>27</v>
      </c>
      <c r="K15" s="3" t="str">
        <f t="shared" si="0"/>
        <v>victorstone27@gmail.com</v>
      </c>
      <c r="O15" t="str">
        <f t="shared" si="1"/>
        <v>victorstone</v>
      </c>
    </row>
    <row r="16" spans="1:16" x14ac:dyDescent="0.25">
      <c r="A16" t="s">
        <v>33</v>
      </c>
      <c r="B16" t="s">
        <v>34</v>
      </c>
      <c r="C16" s="1">
        <v>31193</v>
      </c>
      <c r="D16">
        <v>3332221110</v>
      </c>
      <c r="E16">
        <v>37.1</v>
      </c>
      <c r="H16" s="3" t="s">
        <v>33</v>
      </c>
      <c r="I16" s="3" t="str">
        <f>CLEAN(TRIM(PROPER($B$16)))</f>
        <v>Hal Jordan</v>
      </c>
      <c r="J16" s="3">
        <f>ROUND(E16,0)</f>
        <v>37</v>
      </c>
      <c r="K16" s="3" t="str">
        <f t="shared" si="0"/>
        <v>haljordan37@gmail.com</v>
      </c>
      <c r="O16" t="str">
        <f t="shared" si="1"/>
        <v>haljordan</v>
      </c>
    </row>
    <row r="17" spans="1:15" x14ac:dyDescent="0.25">
      <c r="A17" t="s">
        <v>35</v>
      </c>
      <c r="B17" t="s">
        <v>36</v>
      </c>
      <c r="C17" s="1">
        <v>31194</v>
      </c>
      <c r="D17">
        <v>2221110009</v>
      </c>
      <c r="E17">
        <v>44.3</v>
      </c>
      <c r="H17" s="3" t="s">
        <v>35</v>
      </c>
      <c r="I17" s="3" t="str">
        <f>CLEAN(TRIM(PROPER($B$17)))</f>
        <v>Selina Kyle</v>
      </c>
      <c r="J17" s="3">
        <f>ROUND(E17,0)</f>
        <v>44</v>
      </c>
      <c r="K17" s="3" t="str">
        <f t="shared" si="0"/>
        <v>selinakyle44@gmail.com</v>
      </c>
      <c r="O17" t="str">
        <f t="shared" si="1"/>
        <v>selinakyle</v>
      </c>
    </row>
    <row r="18" spans="1:15" x14ac:dyDescent="0.25">
      <c r="A18" t="s">
        <v>37</v>
      </c>
      <c r="B18" t="s">
        <v>38</v>
      </c>
      <c r="C18" s="1">
        <v>31195</v>
      </c>
      <c r="D18">
        <v>1110009998</v>
      </c>
      <c r="E18">
        <v>53.8</v>
      </c>
      <c r="H18" s="3" t="s">
        <v>37</v>
      </c>
      <c r="I18" s="3" t="str">
        <f>CLEAN(TRIM(PROPER($B$18)))</f>
        <v>Harvey Dent</v>
      </c>
      <c r="J18" s="3">
        <f>ROUND(E18,0)</f>
        <v>54</v>
      </c>
      <c r="K18" s="3" t="str">
        <f t="shared" si="0"/>
        <v>harveydent54@gmail.com</v>
      </c>
      <c r="O18" t="str">
        <f t="shared" si="1"/>
        <v>harveydent</v>
      </c>
    </row>
    <row r="19" spans="1:15" x14ac:dyDescent="0.25">
      <c r="A19" t="s">
        <v>39</v>
      </c>
      <c r="B19" t="s">
        <v>40</v>
      </c>
      <c r="C19" s="1">
        <v>31196</v>
      </c>
      <c r="D19">
        <v>9998887222</v>
      </c>
      <c r="E19">
        <v>57.6</v>
      </c>
      <c r="H19" s="3" t="s">
        <v>39</v>
      </c>
      <c r="I19" s="3" t="str">
        <f>CLEAN(TRIM(PROPER($B$19)))</f>
        <v>James Gordon</v>
      </c>
      <c r="J19" s="3">
        <f>ROUND(E19,0)</f>
        <v>58</v>
      </c>
      <c r="K19" s="3" t="str">
        <f t="shared" si="0"/>
        <v>jamesgordon58@gmail.com</v>
      </c>
      <c r="O19" t="str">
        <f t="shared" si="1"/>
        <v>jamesgordon</v>
      </c>
    </row>
    <row r="20" spans="1:15" x14ac:dyDescent="0.25">
      <c r="A20" t="s">
        <v>41</v>
      </c>
      <c r="B20" t="s">
        <v>42</v>
      </c>
      <c r="C20" s="1">
        <v>31197</v>
      </c>
      <c r="D20">
        <v>9988776655</v>
      </c>
      <c r="E20">
        <v>34.9</v>
      </c>
      <c r="H20" s="3" t="s">
        <v>41</v>
      </c>
      <c r="I20" s="3" t="str">
        <f>CLEAN(TRIM(PROPER($B$20)))</f>
        <v>Barbara G.</v>
      </c>
      <c r="J20" s="3">
        <f>ROUND(E20,0)</f>
        <v>35</v>
      </c>
      <c r="K20" s="3" t="str">
        <f t="shared" si="0"/>
        <v>barbarag.35@gmail.com</v>
      </c>
      <c r="O20" t="str">
        <f t="shared" si="1"/>
        <v>barbarag.</v>
      </c>
    </row>
    <row r="21" spans="1:15" x14ac:dyDescent="0.25">
      <c r="A21" t="s">
        <v>43</v>
      </c>
      <c r="B21" t="s">
        <v>44</v>
      </c>
      <c r="C21" s="1">
        <v>31198</v>
      </c>
      <c r="D21">
        <v>8877665544</v>
      </c>
      <c r="E21">
        <v>55.9</v>
      </c>
      <c r="H21" s="3" t="s">
        <v>43</v>
      </c>
      <c r="I21" s="3" t="str">
        <f>CLEAN(TRIM(PROPER($B$21)))</f>
        <v>Tony Stark</v>
      </c>
      <c r="J21" s="3">
        <f>ROUND(E21,0)</f>
        <v>56</v>
      </c>
      <c r="K21" s="3" t="str">
        <f t="shared" si="0"/>
        <v>tonystark56@gmail.com</v>
      </c>
      <c r="O21" t="str">
        <f t="shared" si="1"/>
        <v>tonystark</v>
      </c>
    </row>
    <row r="22" spans="1:15" x14ac:dyDescent="0.25">
      <c r="A22" t="s">
        <v>45</v>
      </c>
      <c r="B22" t="s">
        <v>46</v>
      </c>
      <c r="C22" s="1">
        <v>31199</v>
      </c>
      <c r="D22">
        <v>7766554433</v>
      </c>
      <c r="E22">
        <v>37.299999999999997</v>
      </c>
      <c r="H22" s="3" t="s">
        <v>45</v>
      </c>
      <c r="I22" s="3" t="str">
        <f>CLEAN(TRIM(PROPER($B$22)))</f>
        <v>Steve Rogers</v>
      </c>
      <c r="J22" s="3">
        <f>ROUND(E22,0)</f>
        <v>37</v>
      </c>
      <c r="K22" s="3" t="str">
        <f t="shared" si="0"/>
        <v>steverogers37@gmail.com</v>
      </c>
      <c r="O22" t="str">
        <f t="shared" si="1"/>
        <v>steverogers</v>
      </c>
    </row>
    <row r="23" spans="1:15" x14ac:dyDescent="0.25">
      <c r="A23" t="s">
        <v>47</v>
      </c>
      <c r="B23" t="s">
        <v>48</v>
      </c>
      <c r="C23" s="1">
        <v>31200</v>
      </c>
      <c r="D23">
        <v>6655443322</v>
      </c>
      <c r="E23">
        <v>41.4</v>
      </c>
      <c r="H23" s="3" t="s">
        <v>47</v>
      </c>
      <c r="I23" s="3" t="str">
        <f>CLEAN(TRIM(PROPER($B$23)))</f>
        <v>Natasha R.</v>
      </c>
      <c r="J23" s="3">
        <f>ROUND(E23,0)</f>
        <v>41</v>
      </c>
      <c r="K23" s="3" t="str">
        <f t="shared" si="0"/>
        <v>natashar.41@gmail.com</v>
      </c>
      <c r="O23" t="str">
        <f t="shared" si="1"/>
        <v>natashar.</v>
      </c>
    </row>
    <row r="24" spans="1:15" x14ac:dyDescent="0.25">
      <c r="A24" t="s">
        <v>49</v>
      </c>
      <c r="B24" t="s">
        <v>50</v>
      </c>
      <c r="C24" s="1">
        <v>31201</v>
      </c>
      <c r="D24">
        <v>5544332211</v>
      </c>
      <c r="E24">
        <v>56.3</v>
      </c>
      <c r="H24" s="3" t="s">
        <v>49</v>
      </c>
      <c r="I24" s="3" t="str">
        <f>CLEAN(TRIM(PROPER($B$24)))</f>
        <v>Bruce Banner</v>
      </c>
      <c r="J24" s="3">
        <f>ROUND(E24,0)</f>
        <v>56</v>
      </c>
      <c r="K24" s="3" t="str">
        <f t="shared" si="0"/>
        <v>brucebanner56@gmail.com</v>
      </c>
      <c r="O24" t="str">
        <f t="shared" si="1"/>
        <v>brucebanner</v>
      </c>
    </row>
    <row r="25" spans="1:15" x14ac:dyDescent="0.25">
      <c r="A25" t="s">
        <v>51</v>
      </c>
      <c r="B25" t="s">
        <v>52</v>
      </c>
      <c r="C25" s="1">
        <v>31202</v>
      </c>
      <c r="D25">
        <v>4433221100</v>
      </c>
      <c r="E25">
        <v>31.4</v>
      </c>
      <c r="H25" s="3" t="s">
        <v>51</v>
      </c>
      <c r="I25" s="3" t="str">
        <f>CLEAN(TRIM(PROPER($B$25)))</f>
        <v>Thor Odinson</v>
      </c>
      <c r="J25" s="3">
        <f>ROUND(E25,0)</f>
        <v>31</v>
      </c>
      <c r="K25" s="3" t="str">
        <f t="shared" si="0"/>
        <v>thorodinson31@gmail.com</v>
      </c>
      <c r="O25" t="str">
        <f t="shared" si="1"/>
        <v>thorodinson</v>
      </c>
    </row>
    <row r="26" spans="1:15" x14ac:dyDescent="0.25">
      <c r="A26" t="s">
        <v>53</v>
      </c>
      <c r="B26" t="s">
        <v>54</v>
      </c>
      <c r="C26" s="1">
        <v>31203</v>
      </c>
      <c r="D26">
        <v>3322110099</v>
      </c>
      <c r="E26">
        <v>33.200000000000003</v>
      </c>
      <c r="H26" s="3" t="s">
        <v>53</v>
      </c>
      <c r="I26" s="3" t="str">
        <f>CLEAN(TRIM(PROPER(B26)))</f>
        <v>Wanda Maximoff</v>
      </c>
      <c r="J26" s="3">
        <f>ROUND(E26,0)</f>
        <v>33</v>
      </c>
      <c r="K26" s="3" t="str">
        <f t="shared" si="0"/>
        <v>wandamaximoff33@gmail.com</v>
      </c>
      <c r="O26" t="str">
        <f t="shared" si="1"/>
        <v>wandamaximoff</v>
      </c>
    </row>
    <row r="27" spans="1:15" x14ac:dyDescent="0.25">
      <c r="A27" t="s">
        <v>55</v>
      </c>
      <c r="B27" t="s">
        <v>56</v>
      </c>
      <c r="C27" s="1">
        <v>31204</v>
      </c>
      <c r="D27">
        <v>2211009988</v>
      </c>
      <c r="E27">
        <v>10.9</v>
      </c>
      <c r="H27" s="3" t="s">
        <v>55</v>
      </c>
      <c r="I27" s="3" t="str">
        <f>CLEAN(TRIM(PROPER($B$27)))</f>
        <v>Vision Android</v>
      </c>
      <c r="J27" s="3">
        <f>ROUND(E27,0)</f>
        <v>11</v>
      </c>
      <c r="K27" s="3" t="str">
        <f t="shared" si="0"/>
        <v>visionandroid11@gmail.com</v>
      </c>
      <c r="O27" t="str">
        <f t="shared" si="1"/>
        <v>visionandroid</v>
      </c>
    </row>
    <row r="28" spans="1:15" x14ac:dyDescent="0.25">
      <c r="A28" t="s">
        <v>57</v>
      </c>
      <c r="B28" t="s">
        <v>58</v>
      </c>
      <c r="C28" s="1">
        <v>31205</v>
      </c>
      <c r="D28">
        <v>1100998877</v>
      </c>
      <c r="E28">
        <v>24.7</v>
      </c>
      <c r="H28" s="3" t="s">
        <v>57</v>
      </c>
      <c r="I28" s="3" t="str">
        <f>CLEAN(TRIM(PROPER($B$28)))</f>
        <v>Peter Parker</v>
      </c>
      <c r="J28" s="3">
        <f>ROUND(E28,0)</f>
        <v>25</v>
      </c>
      <c r="K28" s="3" t="str">
        <f t="shared" si="0"/>
        <v>peterparker25@gmail.com</v>
      </c>
      <c r="O28" t="str">
        <f t="shared" si="1"/>
        <v>peterparker</v>
      </c>
    </row>
    <row r="29" spans="1:15" x14ac:dyDescent="0.25">
      <c r="A29" t="s">
        <v>59</v>
      </c>
      <c r="B29" t="s">
        <v>60</v>
      </c>
      <c r="C29" s="1">
        <v>31206</v>
      </c>
      <c r="D29">
        <v>9988776684</v>
      </c>
      <c r="E29">
        <v>49.4</v>
      </c>
      <c r="H29" s="3" t="s">
        <v>59</v>
      </c>
      <c r="I29" s="3" t="str">
        <f>CLEAN(TRIM(PROPER($B$29)))</f>
        <v>Stephen Strange</v>
      </c>
      <c r="J29" s="3">
        <f>ROUND(E29,0)</f>
        <v>49</v>
      </c>
      <c r="K29" s="3" t="str">
        <f t="shared" si="0"/>
        <v>stephenstrange49@gmail.com</v>
      </c>
      <c r="O29" t="str">
        <f t="shared" si="1"/>
        <v>stephenstrange</v>
      </c>
    </row>
    <row r="30" spans="1:15" x14ac:dyDescent="0.25">
      <c r="A30" t="s">
        <v>61</v>
      </c>
      <c r="B30" t="s">
        <v>62</v>
      </c>
      <c r="C30" s="1">
        <v>31207</v>
      </c>
      <c r="D30">
        <v>9988112233</v>
      </c>
      <c r="E30">
        <v>48</v>
      </c>
      <c r="H30" s="3" t="s">
        <v>61</v>
      </c>
      <c r="I30" s="3" t="str">
        <f>CLEAN(TRIM(PROPER($B$30)))</f>
        <v>Sam Wilson</v>
      </c>
      <c r="J30" s="3">
        <f>ROUND(E30,0)</f>
        <v>48</v>
      </c>
      <c r="K30" s="3" t="str">
        <f t="shared" si="0"/>
        <v>samwilson48@gmail.com</v>
      </c>
      <c r="O30" t="str">
        <f t="shared" si="1"/>
        <v>samwilson</v>
      </c>
    </row>
    <row r="31" spans="1:15" x14ac:dyDescent="0.25">
      <c r="A31" t="s">
        <v>63</v>
      </c>
      <c r="B31" t="s">
        <v>64</v>
      </c>
      <c r="C31" s="1">
        <v>31208</v>
      </c>
      <c r="D31">
        <v>8877223344</v>
      </c>
      <c r="E31">
        <v>45.5</v>
      </c>
      <c r="H31" s="3" t="s">
        <v>63</v>
      </c>
      <c r="I31" s="3" t="str">
        <f>CLEAN(TRIM(PROPER($B$31)))</f>
        <v>Bucky Barnes</v>
      </c>
      <c r="J31" s="3">
        <f>ROUND(E31,0)</f>
        <v>46</v>
      </c>
      <c r="K31" s="3" t="str">
        <f t="shared" si="0"/>
        <v>buckybarnes46@gmail.com</v>
      </c>
      <c r="O31" t="str">
        <f t="shared" si="1"/>
        <v>buckybarnes</v>
      </c>
    </row>
    <row r="32" spans="1:15" x14ac:dyDescent="0.25">
      <c r="A32" t="s">
        <v>65</v>
      </c>
      <c r="B32" t="s">
        <v>66</v>
      </c>
      <c r="C32" s="1">
        <v>31209</v>
      </c>
      <c r="D32">
        <v>7766334455</v>
      </c>
      <c r="E32">
        <v>43.3</v>
      </c>
      <c r="H32" s="3" t="s">
        <v>65</v>
      </c>
      <c r="I32" s="3" t="str">
        <f>CLEAN(TRIM(PROPER($B$32)))</f>
        <v>Scott Lang</v>
      </c>
      <c r="J32" s="3">
        <f>ROUND(E32,0)</f>
        <v>43</v>
      </c>
      <c r="K32" s="3" t="str">
        <f t="shared" si="0"/>
        <v>scottlang43@gmail.com</v>
      </c>
      <c r="O32" t="str">
        <f t="shared" si="1"/>
        <v>scottlang</v>
      </c>
    </row>
    <row r="33" spans="1:15" x14ac:dyDescent="0.25">
      <c r="A33" t="s">
        <v>67</v>
      </c>
      <c r="B33" t="s">
        <v>68</v>
      </c>
      <c r="C33" s="1">
        <v>31210</v>
      </c>
      <c r="D33">
        <v>6655445566</v>
      </c>
      <c r="E33">
        <v>42.9</v>
      </c>
      <c r="H33" s="3" t="s">
        <v>67</v>
      </c>
      <c r="I33" s="3" t="str">
        <f>CLEAN(TRIM(PROPER($B$33)))</f>
        <v>Hope Van Dyne</v>
      </c>
      <c r="J33" s="3">
        <f>ROUND(E33,0)</f>
        <v>43</v>
      </c>
      <c r="K33" s="3" t="str">
        <f t="shared" si="0"/>
        <v>hopevandyne43@gmail.com</v>
      </c>
      <c r="O33" t="str">
        <f t="shared" si="1"/>
        <v>hopevandyne</v>
      </c>
    </row>
    <row r="34" spans="1:15" x14ac:dyDescent="0.25">
      <c r="A34" t="s">
        <v>69</v>
      </c>
      <c r="B34" t="s">
        <v>70</v>
      </c>
      <c r="C34" s="1">
        <v>31211</v>
      </c>
      <c r="D34">
        <v>5544556677</v>
      </c>
      <c r="E34">
        <v>45.4</v>
      </c>
      <c r="H34" s="3" t="s">
        <v>69</v>
      </c>
      <c r="I34" s="3" t="str">
        <f>CLEAN(TRIM(PROPER($B$34)))</f>
        <v>T'Challa King</v>
      </c>
      <c r="J34" s="3">
        <f>ROUND(E34,0)</f>
        <v>45</v>
      </c>
      <c r="K34" s="3" t="str">
        <f t="shared" si="0"/>
        <v>t'challaking45@gmail.com</v>
      </c>
      <c r="O34" t="str">
        <f t="shared" si="1"/>
        <v>t'challaking</v>
      </c>
    </row>
    <row r="35" spans="1:15" x14ac:dyDescent="0.25">
      <c r="A35" t="s">
        <v>71</v>
      </c>
      <c r="B35" t="s">
        <v>72</v>
      </c>
      <c r="C35" s="1">
        <v>31212</v>
      </c>
      <c r="D35">
        <v>4433667788</v>
      </c>
      <c r="E35">
        <v>25.8</v>
      </c>
      <c r="H35" s="3" t="s">
        <v>71</v>
      </c>
      <c r="I35" s="3" t="str">
        <f>CLEAN(TRIM(PROPER($B$35)))</f>
        <v>Shuri Princess</v>
      </c>
      <c r="J35" s="3">
        <f>ROUND(E35,0)</f>
        <v>26</v>
      </c>
      <c r="K35" s="3" t="str">
        <f t="shared" si="0"/>
        <v>shuriprincess26@gmail.com</v>
      </c>
      <c r="O35" t="str">
        <f t="shared" si="1"/>
        <v>shuriprincess</v>
      </c>
    </row>
    <row r="36" spans="1:15" x14ac:dyDescent="0.25">
      <c r="A36" t="s">
        <v>73</v>
      </c>
      <c r="B36" t="s">
        <v>74</v>
      </c>
      <c r="C36" s="1">
        <v>31213</v>
      </c>
      <c r="D36">
        <v>3322778899</v>
      </c>
      <c r="E36">
        <v>61</v>
      </c>
      <c r="H36" s="3" t="s">
        <v>73</v>
      </c>
      <c r="I36" s="3" t="str">
        <f>CLEAN(TRIM(PROPER($B$36)))</f>
        <v>Carol Danvers</v>
      </c>
      <c r="J36" s="3">
        <f>ROUND(E36,0)</f>
        <v>61</v>
      </c>
      <c r="K36" s="3" t="str">
        <f t="shared" si="0"/>
        <v>caroldanvers61@gmail.com</v>
      </c>
      <c r="O36" t="str">
        <f t="shared" si="1"/>
        <v>caroldanvers</v>
      </c>
    </row>
    <row r="37" spans="1:15" x14ac:dyDescent="0.25">
      <c r="A37" t="s">
        <v>75</v>
      </c>
      <c r="B37" t="s">
        <v>76</v>
      </c>
      <c r="C37" s="1">
        <v>31214</v>
      </c>
      <c r="D37">
        <v>2211889900</v>
      </c>
      <c r="E37">
        <v>74.3</v>
      </c>
      <c r="H37" s="3" t="s">
        <v>75</v>
      </c>
      <c r="I37" s="3" t="str">
        <f>CLEAN(TRIM(PROPER($B$37)))</f>
        <v>Nick Fury</v>
      </c>
      <c r="J37" s="3">
        <f>ROUND(E37,0)</f>
        <v>74</v>
      </c>
      <c r="K37" s="3" t="str">
        <f t="shared" si="0"/>
        <v>nickfury74@gmail.com</v>
      </c>
      <c r="O37" t="str">
        <f t="shared" si="1"/>
        <v>nickfury</v>
      </c>
    </row>
    <row r="38" spans="1:15" x14ac:dyDescent="0.25">
      <c r="A38" t="s">
        <v>77</v>
      </c>
      <c r="B38" t="s">
        <v>78</v>
      </c>
      <c r="C38" s="1">
        <v>31215</v>
      </c>
      <c r="D38">
        <v>1100990011</v>
      </c>
      <c r="E38">
        <v>44</v>
      </c>
      <c r="H38" s="3" t="s">
        <v>77</v>
      </c>
      <c r="I38" s="3" t="str">
        <f>CLEAN(TRIM(PROPER($B$38)))</f>
        <v>Maria Hill</v>
      </c>
      <c r="J38" s="3">
        <f>ROUND(E38,0)</f>
        <v>44</v>
      </c>
      <c r="K38" s="3" t="str">
        <f t="shared" si="0"/>
        <v>mariahill44@gmail.com</v>
      </c>
      <c r="O38" t="str">
        <f t="shared" si="1"/>
        <v>mariahill</v>
      </c>
    </row>
    <row r="39" spans="1:15" x14ac:dyDescent="0.25">
      <c r="A39" t="s">
        <v>79</v>
      </c>
      <c r="B39" t="s">
        <v>80</v>
      </c>
      <c r="C39" s="1">
        <v>31216</v>
      </c>
      <c r="D39">
        <v>9900112245</v>
      </c>
      <c r="E39">
        <v>61.7</v>
      </c>
      <c r="H39" s="3" t="s">
        <v>79</v>
      </c>
      <c r="I39" s="3" t="str">
        <f>CLEAN(TRIM(PROPER($B$39)))</f>
        <v>Phil Coulson</v>
      </c>
      <c r="J39" s="3">
        <f>ROUND(E39,0)</f>
        <v>62</v>
      </c>
      <c r="K39" s="3" t="str">
        <f t="shared" si="0"/>
        <v>philcoulson62@gmail.com</v>
      </c>
      <c r="O39" t="str">
        <f t="shared" si="1"/>
        <v>philcoulson</v>
      </c>
    </row>
    <row r="40" spans="1:15" x14ac:dyDescent="0.25">
      <c r="A40" t="s">
        <v>81</v>
      </c>
      <c r="B40" t="s">
        <v>82</v>
      </c>
      <c r="C40" s="1">
        <v>31217</v>
      </c>
      <c r="D40">
        <v>9900112233</v>
      </c>
      <c r="E40">
        <v>55.3</v>
      </c>
      <c r="H40" s="3" t="s">
        <v>81</v>
      </c>
      <c r="I40" s="3" t="str">
        <f>CLEAN(TRIM(PROPER($B$40)))</f>
        <v>Clint Barton</v>
      </c>
      <c r="J40" s="3">
        <f>ROUND(E40,0)</f>
        <v>55</v>
      </c>
      <c r="K40" s="3" t="str">
        <f t="shared" si="0"/>
        <v>clintbarton55@gmail.com</v>
      </c>
      <c r="O40" t="str">
        <f t="shared" si="1"/>
        <v>clintbarton</v>
      </c>
    </row>
    <row r="41" spans="1:15" x14ac:dyDescent="0.25">
      <c r="A41" t="s">
        <v>83</v>
      </c>
      <c r="B41" t="s">
        <v>84</v>
      </c>
      <c r="C41" s="1">
        <v>31218</v>
      </c>
      <c r="D41">
        <v>8811223344</v>
      </c>
      <c r="E41">
        <v>23.4</v>
      </c>
      <c r="H41" s="3" t="s">
        <v>83</v>
      </c>
      <c r="I41" s="3" t="str">
        <f>CLEAN(TRIM(PROPER($B$41)))</f>
        <v>Kate Bishop</v>
      </c>
      <c r="J41" s="3">
        <f>ROUND(E41,0)</f>
        <v>23</v>
      </c>
      <c r="K41" s="3" t="str">
        <f t="shared" si="0"/>
        <v>katebishop23@gmail.com</v>
      </c>
      <c r="O41" t="str">
        <f t="shared" si="1"/>
        <v>katebishop</v>
      </c>
    </row>
    <row r="42" spans="1:15" x14ac:dyDescent="0.25">
      <c r="A42" t="s">
        <v>85</v>
      </c>
      <c r="B42" t="s">
        <v>86</v>
      </c>
      <c r="C42" s="1">
        <v>31219</v>
      </c>
      <c r="D42">
        <v>7722334455</v>
      </c>
      <c r="E42">
        <v>40.4</v>
      </c>
      <c r="H42" s="3" t="s">
        <v>85</v>
      </c>
      <c r="I42" s="3" t="str">
        <f>CLEAN(TRIM(PROPER(B42)))</f>
        <v>Matt Murdock</v>
      </c>
      <c r="J42" s="3">
        <f>ROUND(E42,0)</f>
        <v>40</v>
      </c>
      <c r="K42" s="3" t="str">
        <f t="shared" si="0"/>
        <v>mattmurdock40@gmail.com</v>
      </c>
      <c r="O42" t="str">
        <f t="shared" si="1"/>
        <v>mattmurdock</v>
      </c>
    </row>
    <row r="43" spans="1:15" x14ac:dyDescent="0.25">
      <c r="A43" t="s">
        <v>87</v>
      </c>
      <c r="B43" t="s">
        <v>88</v>
      </c>
      <c r="C43" s="1">
        <v>31220</v>
      </c>
      <c r="D43">
        <v>6633445566</v>
      </c>
      <c r="E43">
        <v>39.200000000000003</v>
      </c>
      <c r="H43" s="3" t="s">
        <v>87</v>
      </c>
      <c r="I43" s="3" t="str">
        <f>CLEAN(TRIM(PROPER($B$43)))</f>
        <v>Jessica Jones</v>
      </c>
      <c r="J43" s="3">
        <f>ROUND(E43,0)</f>
        <v>39</v>
      </c>
      <c r="K43" s="3" t="str">
        <f t="shared" si="0"/>
        <v>jessicajones39@gmail.com</v>
      </c>
      <c r="O43" t="str">
        <f t="shared" si="1"/>
        <v>jessicajones</v>
      </c>
    </row>
    <row r="44" spans="1:15" x14ac:dyDescent="0.25">
      <c r="A44" t="s">
        <v>89</v>
      </c>
      <c r="B44" t="s">
        <v>90</v>
      </c>
      <c r="C44" s="1">
        <v>31221</v>
      </c>
      <c r="D44">
        <v>5544556677</v>
      </c>
      <c r="E44">
        <v>45.9</v>
      </c>
      <c r="H44" s="3" t="s">
        <v>89</v>
      </c>
      <c r="I44" s="3" t="str">
        <f>CLEAN(TRIM(PROPER($B$44)))</f>
        <v>Luke Cage</v>
      </c>
      <c r="J44" s="3">
        <f>ROUND(E44,0)</f>
        <v>46</v>
      </c>
      <c r="K44" s="3" t="str">
        <f t="shared" si="0"/>
        <v>lukecage46@gmail.com</v>
      </c>
      <c r="O44" t="str">
        <f t="shared" si="1"/>
        <v>lukecage</v>
      </c>
    </row>
    <row r="45" spans="1:15" x14ac:dyDescent="0.25">
      <c r="A45" t="s">
        <v>91</v>
      </c>
      <c r="B45" t="s">
        <v>92</v>
      </c>
      <c r="C45" s="1">
        <v>31222</v>
      </c>
      <c r="D45">
        <v>4455667788</v>
      </c>
      <c r="E45">
        <v>34.9</v>
      </c>
      <c r="H45" s="3" t="s">
        <v>91</v>
      </c>
      <c r="I45" s="3" t="str">
        <f>CLEAN(TRIM(PROPER($B$45)))</f>
        <v>Danny Rand</v>
      </c>
      <c r="J45" s="3">
        <f>ROUND(E45,0)</f>
        <v>35</v>
      </c>
      <c r="K45" s="3" t="str">
        <f t="shared" si="0"/>
        <v>dannyrand35@gmail.com</v>
      </c>
      <c r="O45" t="str">
        <f t="shared" si="1"/>
        <v>dannyrand</v>
      </c>
    </row>
    <row r="46" spans="1:15" x14ac:dyDescent="0.25">
      <c r="A46" t="s">
        <v>93</v>
      </c>
      <c r="B46" t="s">
        <v>94</v>
      </c>
      <c r="C46" s="1">
        <v>31223</v>
      </c>
      <c r="D46">
        <v>3366778899</v>
      </c>
      <c r="E46">
        <v>49.4</v>
      </c>
      <c r="H46" s="3" t="s">
        <v>93</v>
      </c>
      <c r="I46" s="3" t="str">
        <f>CLEAN(TRIM(PROPER($B$46)))</f>
        <v>Frank Castle</v>
      </c>
      <c r="J46" s="3">
        <f>ROUND(E46,0)</f>
        <v>49</v>
      </c>
      <c r="K46" s="3" t="str">
        <f t="shared" si="0"/>
        <v>frankcastle49@gmail.com</v>
      </c>
      <c r="O46" t="str">
        <f t="shared" si="1"/>
        <v>frankcastle</v>
      </c>
    </row>
    <row r="47" spans="1:15" x14ac:dyDescent="0.25">
      <c r="A47" t="s">
        <v>95</v>
      </c>
      <c r="B47" t="s">
        <v>96</v>
      </c>
      <c r="C47" s="1">
        <v>31224</v>
      </c>
      <c r="D47">
        <v>2277889900</v>
      </c>
      <c r="E47">
        <v>56.2</v>
      </c>
      <c r="H47" s="3" t="s">
        <v>95</v>
      </c>
      <c r="I47" s="3" t="str">
        <f>CLEAN(TRIM(PROPER($B$47)))</f>
        <v>Reed Richards</v>
      </c>
      <c r="J47" s="3">
        <f>ROUND(E47,0)</f>
        <v>56</v>
      </c>
      <c r="K47" s="3" t="str">
        <f t="shared" si="0"/>
        <v>reedrichards56@gmail.com</v>
      </c>
      <c r="O47" t="str">
        <f t="shared" si="1"/>
        <v>reedrichards</v>
      </c>
    </row>
    <row r="48" spans="1:15" x14ac:dyDescent="0.25">
      <c r="A48" t="s">
        <v>97</v>
      </c>
      <c r="B48" t="s">
        <v>98</v>
      </c>
      <c r="C48" s="1">
        <v>31225</v>
      </c>
      <c r="D48">
        <v>1188990011</v>
      </c>
      <c r="E48">
        <v>52.9</v>
      </c>
      <c r="H48" s="3" t="s">
        <v>97</v>
      </c>
      <c r="I48" s="3" t="str">
        <f>CLEAN(TRIM(PROPER($B$48)))</f>
        <v>Sue Storm</v>
      </c>
      <c r="J48" s="3">
        <f>ROUND(E48,0)</f>
        <v>53</v>
      </c>
      <c r="K48" s="3" t="str">
        <f t="shared" si="0"/>
        <v>suestorm53@gmail.com</v>
      </c>
      <c r="O48" t="str">
        <f t="shared" si="1"/>
        <v>suestorm</v>
      </c>
    </row>
    <row r="49" spans="1:15" x14ac:dyDescent="0.25">
      <c r="A49" t="s">
        <v>99</v>
      </c>
      <c r="B49" t="s">
        <v>100</v>
      </c>
      <c r="C49" s="1">
        <v>31226</v>
      </c>
      <c r="D49">
        <v>9900112242</v>
      </c>
      <c r="E49">
        <v>43.5</v>
      </c>
      <c r="H49" s="3" t="s">
        <v>99</v>
      </c>
      <c r="I49" s="3" t="str">
        <f>CLEAN(TRIM(PROPER($B$49)))</f>
        <v>Johnny Storm</v>
      </c>
      <c r="J49" s="3">
        <f>ROUND(E49,0)</f>
        <v>44</v>
      </c>
      <c r="K49" s="3" t="str">
        <f t="shared" si="0"/>
        <v>johnnystorm44@gmail.com</v>
      </c>
      <c r="O49" t="str">
        <f t="shared" si="1"/>
        <v>johnnystorm</v>
      </c>
    </row>
    <row r="50" spans="1:15" x14ac:dyDescent="0.25">
      <c r="A50" t="s">
        <v>101</v>
      </c>
      <c r="B50" t="s">
        <v>102</v>
      </c>
      <c r="C50" s="1">
        <v>31227</v>
      </c>
      <c r="D50">
        <v>9900112233</v>
      </c>
      <c r="E50">
        <v>51.8</v>
      </c>
      <c r="H50" s="3" t="s">
        <v>101</v>
      </c>
      <c r="I50" s="3" t="str">
        <f>CLEAN(TRIM(PROPER($B$50)))</f>
        <v>Ben Grimm</v>
      </c>
      <c r="J50" s="3">
        <f>ROUND(E50,0)</f>
        <v>52</v>
      </c>
      <c r="K50" s="3" t="str">
        <f t="shared" si="0"/>
        <v>bengrimm52@gmail.com</v>
      </c>
      <c r="O50" t="str">
        <f t="shared" si="1"/>
        <v>bengrimm</v>
      </c>
    </row>
    <row r="51" spans="1:15" x14ac:dyDescent="0.25">
      <c r="A51" t="s">
        <v>103</v>
      </c>
      <c r="B51" t="s">
        <v>104</v>
      </c>
      <c r="C51" s="1">
        <v>31228</v>
      </c>
      <c r="D51">
        <v>8811223344</v>
      </c>
      <c r="E51">
        <v>63.7</v>
      </c>
      <c r="H51" s="3" t="s">
        <v>103</v>
      </c>
      <c r="I51" s="3" t="str">
        <f>CLEAN(TRIM(PROPER($B$51)))</f>
        <v>Charles Xavier</v>
      </c>
      <c r="J51" s="3">
        <f>ROUND(E51,0)</f>
        <v>64</v>
      </c>
      <c r="K51" s="3" t="str">
        <f t="shared" si="0"/>
        <v>charlesxavier64@gmail.com</v>
      </c>
      <c r="O51" t="str">
        <f t="shared" si="1"/>
        <v>charlesxavier</v>
      </c>
    </row>
    <row r="52" spans="1:15" x14ac:dyDescent="0.25">
      <c r="H52" s="3"/>
      <c r="I52" s="3" t="str">
        <f>CLEAN(TRIM(PROPER(B52)))</f>
        <v/>
      </c>
      <c r="J52" s="3"/>
      <c r="K52" s="3"/>
    </row>
    <row r="53" spans="1:15" x14ac:dyDescent="0.25">
      <c r="H53" s="3"/>
      <c r="I53" s="3" t="str">
        <f t="shared" si="2"/>
        <v/>
      </c>
      <c r="J53" s="3"/>
      <c r="K53" s="3"/>
    </row>
    <row r="54" spans="1:15" x14ac:dyDescent="0.25">
      <c r="H54" s="3"/>
      <c r="I54" s="3" t="str">
        <f t="shared" si="2"/>
        <v/>
      </c>
      <c r="J54" s="3"/>
      <c r="K54" s="3"/>
    </row>
    <row r="55" spans="1:15" x14ac:dyDescent="0.25">
      <c r="H55" s="3"/>
      <c r="I55" s="3" t="str">
        <f t="shared" si="2"/>
        <v/>
      </c>
      <c r="J55" s="3"/>
      <c r="K55" s="3"/>
    </row>
    <row r="56" spans="1:15" x14ac:dyDescent="0.25">
      <c r="H56" s="3"/>
      <c r="I56" s="3" t="str">
        <f t="shared" si="2"/>
        <v/>
      </c>
      <c r="J56" s="3"/>
      <c r="K56" s="3"/>
    </row>
    <row r="57" spans="1:15" x14ac:dyDescent="0.25">
      <c r="H57" s="3"/>
      <c r="I57" s="3" t="str">
        <f t="shared" si="2"/>
        <v/>
      </c>
      <c r="J57" s="3"/>
      <c r="K57" s="3"/>
    </row>
    <row r="58" spans="1:15" x14ac:dyDescent="0.25">
      <c r="H58" s="3"/>
      <c r="I58" s="3" t="str">
        <f t="shared" si="2"/>
        <v/>
      </c>
      <c r="J58" s="3"/>
      <c r="K58" s="3"/>
    </row>
    <row r="59" spans="1:15" x14ac:dyDescent="0.25">
      <c r="H59" s="3"/>
      <c r="I59" s="3" t="str">
        <f t="shared" si="2"/>
        <v/>
      </c>
      <c r="J59" s="3"/>
      <c r="K59" s="3"/>
    </row>
    <row r="60" spans="1:15" x14ac:dyDescent="0.25">
      <c r="H60" s="3"/>
      <c r="I60" s="3" t="str">
        <f t="shared" si="2"/>
        <v/>
      </c>
      <c r="J60" s="3"/>
      <c r="K60" s="3"/>
    </row>
    <row r="61" spans="1:15" x14ac:dyDescent="0.25">
      <c r="H61" s="3"/>
      <c r="I61" s="3" t="str">
        <f t="shared" si="2"/>
        <v/>
      </c>
      <c r="J61" s="3"/>
      <c r="K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2026-04-08T13:38:24Z</dcterms:created>
  <dcterms:modified xsi:type="dcterms:W3CDTF">2026-04-08T13:56:15Z</dcterms:modified>
</cp:coreProperties>
</file>